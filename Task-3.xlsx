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vit\Desktop\New folder\"/>
    </mc:Choice>
  </mc:AlternateContent>
  <xr:revisionPtr revIDLastSave="0" documentId="13_ncr:1_{4A2F7D9B-1680-4142-9303-8B85C12CB90C}" xr6:coauthVersionLast="47" xr6:coauthVersionMax="47" xr10:uidLastSave="{00000000-0000-0000-0000-000000000000}"/>
  <bookViews>
    <workbookView xWindow="-110" yWindow="-110" windowWidth="19420" windowHeight="11500" xr2:uid="{BE810A48-6159-491C-A460-A820E96A278B}"/>
  </bookViews>
  <sheets>
    <sheet name="Task-3" sheetId="1" r:id="rId1"/>
    <sheet name="3.1" sheetId="2" r:id="rId2"/>
    <sheet name="3.2" sheetId="3" r:id="rId3"/>
    <sheet name="3.3" sheetId="4" r:id="rId4"/>
    <sheet name="3.4" sheetId="5" r:id="rId5"/>
  </sheets>
  <definedNames>
    <definedName name="_xlcn.WorksheetConnection_EngagementSummary3.2A1I2011" hidden="1">'Task-3'!$A$1:$I$201</definedName>
    <definedName name="_xlcn.WorksheetConnection_EngagementSummary3.2A1I20111" hidden="1">'Task-3'!$A$1:$I$201</definedName>
  </definedNames>
  <calcPr calcId="191029"/>
  <pivotCaches>
    <pivotCache cacheId="2" r:id="rId6"/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2898743d-8502-45be-8b47-e2207f0f4588" name="Range" connection="WorksheetConnection_Engagement Summary (3.2)!$A$1:$I$201"/>
          <x15:modelTable id="Range-0f8b888a-e447-4aa1-bdcd-4c48a8b4de8b" name="Range1" connection="WorksheetConnection_Engagement Summary (3.2)!$A$1:$I$201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1" i="1" l="1"/>
  <c r="G201" i="1" s="1"/>
  <c r="G200" i="1"/>
  <c r="F200" i="1"/>
  <c r="G199" i="1"/>
  <c r="F199" i="1"/>
  <c r="G198" i="1"/>
  <c r="F198" i="1"/>
  <c r="F197" i="1"/>
  <c r="G197" i="1" s="1"/>
  <c r="F196" i="1"/>
  <c r="G196" i="1" s="1"/>
  <c r="F195" i="1"/>
  <c r="G195" i="1" s="1"/>
  <c r="G194" i="1"/>
  <c r="F194" i="1"/>
  <c r="G193" i="1"/>
  <c r="F193" i="1"/>
  <c r="G192" i="1"/>
  <c r="F192" i="1"/>
  <c r="F191" i="1"/>
  <c r="G191" i="1" s="1"/>
  <c r="F190" i="1"/>
  <c r="G190" i="1" s="1"/>
  <c r="F189" i="1"/>
  <c r="G189" i="1" s="1"/>
  <c r="G188" i="1"/>
  <c r="F188" i="1"/>
  <c r="G187" i="1"/>
  <c r="F187" i="1"/>
  <c r="G186" i="1"/>
  <c r="F186" i="1"/>
  <c r="F185" i="1"/>
  <c r="G185" i="1" s="1"/>
  <c r="F184" i="1"/>
  <c r="G184" i="1" s="1"/>
  <c r="F183" i="1"/>
  <c r="G183" i="1" s="1"/>
  <c r="G182" i="1"/>
  <c r="F182" i="1"/>
  <c r="G181" i="1"/>
  <c r="F181" i="1"/>
  <c r="G180" i="1"/>
  <c r="F180" i="1"/>
  <c r="F179" i="1"/>
  <c r="G179" i="1" s="1"/>
  <c r="F178" i="1"/>
  <c r="G178" i="1" s="1"/>
  <c r="F177" i="1"/>
  <c r="G177" i="1" s="1"/>
  <c r="G176" i="1"/>
  <c r="F176" i="1"/>
  <c r="G175" i="1"/>
  <c r="F175" i="1"/>
  <c r="G174" i="1"/>
  <c r="F174" i="1"/>
  <c r="F173" i="1"/>
  <c r="G173" i="1" s="1"/>
  <c r="F172" i="1"/>
  <c r="G172" i="1" s="1"/>
  <c r="F171" i="1"/>
  <c r="G171" i="1" s="1"/>
  <c r="G170" i="1"/>
  <c r="F170" i="1"/>
  <c r="G169" i="1"/>
  <c r="F169" i="1"/>
  <c r="G168" i="1"/>
  <c r="F168" i="1"/>
  <c r="F167" i="1"/>
  <c r="G167" i="1" s="1"/>
  <c r="F166" i="1"/>
  <c r="G166" i="1" s="1"/>
  <c r="F165" i="1"/>
  <c r="G165" i="1" s="1"/>
  <c r="G164" i="1"/>
  <c r="F164" i="1"/>
  <c r="G163" i="1"/>
  <c r="F163" i="1"/>
  <c r="G162" i="1"/>
  <c r="F162" i="1"/>
  <c r="F161" i="1"/>
  <c r="G161" i="1" s="1"/>
  <c r="F160" i="1"/>
  <c r="G160" i="1" s="1"/>
  <c r="F159" i="1"/>
  <c r="G159" i="1" s="1"/>
  <c r="G158" i="1"/>
  <c r="F158" i="1"/>
  <c r="G157" i="1"/>
  <c r="F157" i="1"/>
  <c r="G156" i="1"/>
  <c r="F156" i="1"/>
  <c r="F155" i="1"/>
  <c r="G155" i="1" s="1"/>
  <c r="F154" i="1"/>
  <c r="G154" i="1" s="1"/>
  <c r="F153" i="1"/>
  <c r="G153" i="1" s="1"/>
  <c r="G152" i="1"/>
  <c r="F152" i="1"/>
  <c r="G151" i="1"/>
  <c r="F151" i="1"/>
  <c r="G150" i="1"/>
  <c r="F150" i="1"/>
  <c r="F149" i="1"/>
  <c r="G149" i="1" s="1"/>
  <c r="F148" i="1"/>
  <c r="G148" i="1" s="1"/>
  <c r="F147" i="1"/>
  <c r="G147" i="1" s="1"/>
  <c r="G146" i="1"/>
  <c r="F146" i="1"/>
  <c r="G145" i="1"/>
  <c r="F145" i="1"/>
  <c r="G144" i="1"/>
  <c r="F144" i="1"/>
  <c r="F143" i="1"/>
  <c r="G143" i="1" s="1"/>
  <c r="F142" i="1"/>
  <c r="G142" i="1" s="1"/>
  <c r="F141" i="1"/>
  <c r="G141" i="1" s="1"/>
  <c r="G140" i="1"/>
  <c r="F140" i="1"/>
  <c r="G139" i="1"/>
  <c r="F139" i="1"/>
  <c r="G138" i="1"/>
  <c r="F138" i="1"/>
  <c r="F137" i="1"/>
  <c r="G137" i="1" s="1"/>
  <c r="F136" i="1"/>
  <c r="G136" i="1" s="1"/>
  <c r="F135" i="1"/>
  <c r="G135" i="1" s="1"/>
  <c r="G134" i="1"/>
  <c r="F134" i="1"/>
  <c r="G133" i="1"/>
  <c r="F133" i="1"/>
  <c r="G132" i="1"/>
  <c r="F132" i="1"/>
  <c r="F131" i="1"/>
  <c r="G131" i="1" s="1"/>
  <c r="F130" i="1"/>
  <c r="G130" i="1" s="1"/>
  <c r="F129" i="1"/>
  <c r="G129" i="1" s="1"/>
  <c r="G128" i="1"/>
  <c r="F128" i="1"/>
  <c r="G127" i="1"/>
  <c r="F127" i="1"/>
  <c r="G126" i="1"/>
  <c r="F126" i="1"/>
  <c r="F125" i="1"/>
  <c r="G125" i="1" s="1"/>
  <c r="F124" i="1"/>
  <c r="G124" i="1" s="1"/>
  <c r="F123" i="1"/>
  <c r="G123" i="1" s="1"/>
  <c r="G122" i="1"/>
  <c r="F122" i="1"/>
  <c r="G121" i="1"/>
  <c r="F121" i="1"/>
  <c r="G120" i="1"/>
  <c r="F120" i="1"/>
  <c r="F119" i="1"/>
  <c r="G119" i="1" s="1"/>
  <c r="F118" i="1"/>
  <c r="G118" i="1" s="1"/>
  <c r="F117" i="1"/>
  <c r="G117" i="1" s="1"/>
  <c r="G116" i="1"/>
  <c r="F116" i="1"/>
  <c r="G115" i="1"/>
  <c r="F115" i="1"/>
  <c r="G114" i="1"/>
  <c r="F114" i="1"/>
  <c r="F113" i="1"/>
  <c r="G113" i="1" s="1"/>
  <c r="F112" i="1"/>
  <c r="G112" i="1" s="1"/>
  <c r="F111" i="1"/>
  <c r="G111" i="1" s="1"/>
  <c r="G110" i="1"/>
  <c r="F110" i="1"/>
  <c r="G109" i="1"/>
  <c r="F109" i="1"/>
  <c r="G108" i="1"/>
  <c r="F108" i="1"/>
  <c r="F107" i="1"/>
  <c r="G107" i="1" s="1"/>
  <c r="F106" i="1"/>
  <c r="G106" i="1" s="1"/>
  <c r="F105" i="1"/>
  <c r="G105" i="1" s="1"/>
  <c r="G104" i="1"/>
  <c r="F104" i="1"/>
  <c r="G103" i="1"/>
  <c r="F103" i="1"/>
  <c r="G102" i="1"/>
  <c r="F102" i="1"/>
  <c r="F101" i="1"/>
  <c r="G101" i="1" s="1"/>
  <c r="F100" i="1"/>
  <c r="G100" i="1" s="1"/>
  <c r="F99" i="1"/>
  <c r="G99" i="1" s="1"/>
  <c r="G98" i="1"/>
  <c r="F98" i="1"/>
  <c r="G97" i="1"/>
  <c r="F97" i="1"/>
  <c r="G96" i="1"/>
  <c r="F96" i="1"/>
  <c r="F95" i="1"/>
  <c r="G95" i="1" s="1"/>
  <c r="F94" i="1"/>
  <c r="G94" i="1" s="1"/>
  <c r="F93" i="1"/>
  <c r="G93" i="1" s="1"/>
  <c r="G92" i="1"/>
  <c r="F92" i="1"/>
  <c r="G91" i="1"/>
  <c r="F91" i="1"/>
  <c r="G90" i="1"/>
  <c r="F90" i="1"/>
  <c r="F89" i="1"/>
  <c r="G89" i="1" s="1"/>
  <c r="F88" i="1"/>
  <c r="G88" i="1" s="1"/>
  <c r="F87" i="1"/>
  <c r="G87" i="1" s="1"/>
  <c r="G86" i="1"/>
  <c r="F86" i="1"/>
  <c r="G85" i="1"/>
  <c r="F85" i="1"/>
  <c r="G84" i="1"/>
  <c r="F84" i="1"/>
  <c r="F83" i="1"/>
  <c r="G83" i="1" s="1"/>
  <c r="F82" i="1"/>
  <c r="G82" i="1" s="1"/>
  <c r="F81" i="1"/>
  <c r="G81" i="1" s="1"/>
  <c r="G80" i="1"/>
  <c r="F80" i="1"/>
  <c r="G79" i="1"/>
  <c r="F79" i="1"/>
  <c r="G78" i="1"/>
  <c r="F78" i="1"/>
  <c r="F77" i="1"/>
  <c r="G77" i="1" s="1"/>
  <c r="F76" i="1"/>
  <c r="G76" i="1" s="1"/>
  <c r="F75" i="1"/>
  <c r="G75" i="1" s="1"/>
  <c r="G74" i="1"/>
  <c r="F74" i="1"/>
  <c r="G73" i="1"/>
  <c r="F73" i="1"/>
  <c r="G72" i="1"/>
  <c r="F72" i="1"/>
  <c r="F71" i="1"/>
  <c r="G71" i="1" s="1"/>
  <c r="F70" i="1"/>
  <c r="G70" i="1" s="1"/>
  <c r="F69" i="1"/>
  <c r="G69" i="1" s="1"/>
  <c r="G68" i="1"/>
  <c r="F68" i="1"/>
  <c r="G67" i="1"/>
  <c r="F67" i="1"/>
  <c r="G66" i="1"/>
  <c r="F66" i="1"/>
  <c r="F65" i="1"/>
  <c r="G65" i="1" s="1"/>
  <c r="F64" i="1"/>
  <c r="G64" i="1" s="1"/>
  <c r="F63" i="1"/>
  <c r="G63" i="1" s="1"/>
  <c r="G62" i="1"/>
  <c r="F62" i="1"/>
  <c r="G61" i="1"/>
  <c r="F61" i="1"/>
  <c r="G60" i="1"/>
  <c r="F60" i="1"/>
  <c r="F59" i="1"/>
  <c r="G59" i="1" s="1"/>
  <c r="F58" i="1"/>
  <c r="G58" i="1" s="1"/>
  <c r="F57" i="1"/>
  <c r="G57" i="1" s="1"/>
  <c r="G56" i="1"/>
  <c r="F56" i="1"/>
  <c r="G55" i="1"/>
  <c r="F55" i="1"/>
  <c r="G54" i="1"/>
  <c r="F54" i="1"/>
  <c r="F53" i="1"/>
  <c r="G53" i="1" s="1"/>
  <c r="F52" i="1"/>
  <c r="G52" i="1" s="1"/>
  <c r="F51" i="1"/>
  <c r="G51" i="1" s="1"/>
  <c r="G50" i="1"/>
  <c r="F50" i="1"/>
  <c r="G49" i="1"/>
  <c r="F49" i="1"/>
  <c r="G48" i="1"/>
  <c r="F48" i="1"/>
  <c r="F47" i="1"/>
  <c r="G47" i="1" s="1"/>
  <c r="F46" i="1"/>
  <c r="G46" i="1" s="1"/>
  <c r="F45" i="1"/>
  <c r="G45" i="1" s="1"/>
  <c r="G44" i="1"/>
  <c r="F44" i="1"/>
  <c r="G43" i="1"/>
  <c r="F43" i="1"/>
  <c r="G42" i="1"/>
  <c r="F42" i="1"/>
  <c r="F41" i="1"/>
  <c r="G41" i="1" s="1"/>
  <c r="F40" i="1"/>
  <c r="G40" i="1" s="1"/>
  <c r="F39" i="1"/>
  <c r="G39" i="1" s="1"/>
  <c r="G38" i="1"/>
  <c r="F38" i="1"/>
  <c r="G37" i="1"/>
  <c r="F37" i="1"/>
  <c r="G36" i="1"/>
  <c r="F36" i="1"/>
  <c r="F35" i="1"/>
  <c r="G35" i="1" s="1"/>
  <c r="F34" i="1"/>
  <c r="G34" i="1" s="1"/>
  <c r="F33" i="1"/>
  <c r="G33" i="1" s="1"/>
  <c r="G32" i="1"/>
  <c r="F32" i="1"/>
  <c r="G31" i="1"/>
  <c r="F31" i="1"/>
  <c r="G30" i="1"/>
  <c r="F30" i="1"/>
  <c r="F29" i="1"/>
  <c r="G29" i="1" s="1"/>
  <c r="F28" i="1"/>
  <c r="G28" i="1" s="1"/>
  <c r="F27" i="1"/>
  <c r="G27" i="1" s="1"/>
  <c r="G26" i="1"/>
  <c r="F26" i="1"/>
  <c r="G25" i="1"/>
  <c r="F25" i="1"/>
  <c r="G24" i="1"/>
  <c r="F24" i="1"/>
  <c r="F23" i="1"/>
  <c r="G23" i="1" s="1"/>
  <c r="F22" i="1"/>
  <c r="G22" i="1" s="1"/>
  <c r="F21" i="1"/>
  <c r="G21" i="1" s="1"/>
  <c r="G20" i="1"/>
  <c r="F20" i="1"/>
  <c r="G19" i="1"/>
  <c r="F19" i="1"/>
  <c r="F18" i="1"/>
  <c r="G18" i="1" s="1"/>
  <c r="F17" i="1"/>
  <c r="G17" i="1" s="1"/>
  <c r="F16" i="1"/>
  <c r="G16" i="1" s="1"/>
  <c r="F15" i="1"/>
  <c r="G15" i="1" s="1"/>
  <c r="G14" i="1"/>
  <c r="F14" i="1"/>
  <c r="G13" i="1"/>
  <c r="F13" i="1"/>
  <c r="G12" i="1"/>
  <c r="F12" i="1"/>
  <c r="F11" i="1"/>
  <c r="G11" i="1" s="1"/>
  <c r="F10" i="1"/>
  <c r="G10" i="1" s="1"/>
  <c r="F9" i="1"/>
  <c r="G9" i="1" s="1"/>
  <c r="G8" i="1"/>
  <c r="F8" i="1"/>
  <c r="G7" i="1"/>
  <c r="F7" i="1"/>
  <c r="G6" i="1"/>
  <c r="F6" i="1"/>
  <c r="F5" i="1"/>
  <c r="G5" i="1" s="1"/>
  <c r="F4" i="1"/>
  <c r="G4" i="1" s="1"/>
  <c r="F3" i="1"/>
  <c r="G3" i="1" s="1"/>
  <c r="G2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2394A4-87D5-44F6-A7D7-F725844D8AD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5A3610-9EC7-4778-B3F3-3ABB41418D05}" name="WorksheetConnection_Engagement Summary (3.2)!$A$1:$I$201" type="102" refreshedVersion="8" minRefreshableVersion="5">
    <extLst>
      <ext xmlns:x15="http://schemas.microsoft.com/office/spreadsheetml/2010/11/main" uri="{DE250136-89BD-433C-8126-D09CA5730AF9}">
        <x15:connection id="Range-2898743d-8502-45be-8b47-e2207f0f4588" autoDelete="1">
          <x15:rangePr sourceName="_xlcn.WorksheetConnection_EngagementSummary3.2A1I2011"/>
        </x15:connection>
      </ext>
    </extLst>
  </connection>
  <connection id="3" xr16:uid="{F15A3610-9EC7-4778-B3F3-3ABB41418D05}" name="WorksheetConnection_Engagement Summary (3.2)!$A$1:$I$2011" type="102" refreshedVersion="8" minRefreshableVersion="5">
    <extLst>
      <ext xmlns:x15="http://schemas.microsoft.com/office/spreadsheetml/2010/11/main" uri="{DE250136-89BD-433C-8126-D09CA5730AF9}">
        <x15:connection id="Range-0f8b888a-e447-4aa1-bdcd-4c48a8b4de8b" autoDelete="1">
          <x15:rangePr sourceName="_xlcn.WorksheetConnection_EngagementSummary3.2A1I20111"/>
        </x15:connection>
      </ext>
    </extLst>
  </connection>
</connections>
</file>

<file path=xl/sharedStrings.xml><?xml version="1.0" encoding="utf-8"?>
<sst xmlns="http://schemas.openxmlformats.org/spreadsheetml/2006/main" count="469" uniqueCount="100">
  <si>
    <t>Week_Start_Date</t>
  </si>
  <si>
    <t>Platform</t>
  </si>
  <si>
    <t>New_Followers</t>
  </si>
  <si>
    <t>Unfollows</t>
  </si>
  <si>
    <t>Total_Followers</t>
  </si>
  <si>
    <t>Net_Followers</t>
  </si>
  <si>
    <t>growth rate</t>
  </si>
  <si>
    <t>Engagement_Rate</t>
  </si>
  <si>
    <t>Ad_Spend</t>
  </si>
  <si>
    <t>2024-06-03</t>
  </si>
  <si>
    <t>Instagram</t>
  </si>
  <si>
    <t>Twitter</t>
  </si>
  <si>
    <t>YouTube</t>
  </si>
  <si>
    <t>Task-3</t>
  </si>
  <si>
    <t>procedure</t>
  </si>
  <si>
    <t>observation</t>
  </si>
  <si>
    <t>step-1</t>
  </si>
  <si>
    <t>Identify the platform with highest engagement</t>
  </si>
  <si>
    <t>youtube has the highest engagement</t>
  </si>
  <si>
    <t>2024-06-10</t>
  </si>
  <si>
    <t>3.1'!A1</t>
  </si>
  <si>
    <t>step-2</t>
  </si>
  <si>
    <t>Compare follower growth rates across platforms.</t>
  </si>
  <si>
    <t>3.2'!A1</t>
  </si>
  <si>
    <t>net followers=New Followers−Unfollowers,growth rate%=(net followers/total followers)*100</t>
  </si>
  <si>
    <t>step-3</t>
  </si>
  <si>
    <t>Visualize Engagement vs. Ad Spend per platform.</t>
  </si>
  <si>
    <t>3.3'!A1</t>
  </si>
  <si>
    <t>2024-06-17</t>
  </si>
  <si>
    <t>step-4</t>
  </si>
  <si>
    <t>Advise Apple’s team:</t>
  </si>
  <si>
    <t>we can go for you tube and insta because we spend less ad spend compare to all</t>
  </si>
  <si>
    <t>LinkedIn</t>
  </si>
  <si>
    <t>3.4'!A1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</si>
  <si>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</si>
  <si>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</si>
  <si>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</si>
  <si>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</si>
  <si>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</si>
  <si>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</si>
  <si>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</si>
  <si>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</si>
  <si>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</si>
  <si>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</si>
  <si>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</si>
  <si>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</si>
  <si>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</si>
  <si>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</si>
  <si>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</si>
  <si>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</si>
  <si>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</si>
  <si>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</si>
  <si>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</si>
  <si>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</si>
  <si>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</si>
  <si>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</si>
  <si>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</si>
  <si>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</si>
  <si>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</si>
  <si>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</si>
  <si>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</si>
  <si>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</si>
  <si>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</si>
  <si>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</si>
  <si>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</si>
  <si>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</si>
  <si>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</si>
  <si>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</si>
  <si>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</si>
  <si>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</si>
  <si>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</si>
  <si>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</si>
  <si>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</si>
  <si>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</si>
  <si>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</si>
  <si>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</si>
  <si>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</si>
  <si>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</si>
  <si>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</si>
  <si>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</si>
  <si>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</si>
  <si>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pivot table-1</t>
  </si>
  <si>
    <t>Average of Engagement_Rate</t>
  </si>
  <si>
    <t>Grand Total</t>
  </si>
  <si>
    <t>pivot table-2</t>
  </si>
  <si>
    <t>Sum of New_Followers</t>
  </si>
  <si>
    <t>Sum of Total_Followers</t>
  </si>
  <si>
    <t>Average of growth rate2</t>
  </si>
  <si>
    <t>pivot table-3</t>
  </si>
  <si>
    <t>platform</t>
  </si>
  <si>
    <t>Sum of Ad_Spend</t>
  </si>
  <si>
    <t>pivot table-4</t>
  </si>
  <si>
    <t>Average of growth rate</t>
  </si>
  <si>
    <t>Platfrom</t>
  </si>
  <si>
    <t>Insert-&gt;pivot table-&gt;(platforms=rows,net follwers,total followers,growth rate=values)</t>
  </si>
  <si>
    <t>Insert-&gt;pivot table-&gt;(platforms=rows,Average of Engagement_Rate=values,Sum of Ad_Spend=values)-&gt; to visualize -&gt;insert-&gt;bar graph-&gt;make other axis-&gt;ok</t>
  </si>
  <si>
    <t>Insert-&gt;pivot table-&gt;(platform=rows,Average of growth rate,Sum of Ad_Spend,Average of Engagement_Rate=values)</t>
  </si>
  <si>
    <t>Insert-&gt;pivot table-&gt; from table/range-&gt; new worksheet-&gt;(platfrom=rows, engagementrate =values)-&gt;changes sum to average-&gt;upto 2 decimals-&gt;sort them and them</t>
  </si>
  <si>
    <t>Steps</t>
  </si>
  <si>
    <t>Task 3: Platform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</si>
</sst>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164" fontId="4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0" xfId="0" applyFont="1"/>
    <xf numFmtId="0" fontId="0" fillId="2" borderId="1" xfId="0" applyFill="1" applyBorder="1" applyAlignment="1">
      <alignment horizontal="left"/>
    </xf>
    <xf numFmtId="0" fontId="2" fillId="2" borderId="1" xfId="0" applyFont="1" applyFill="1" applyBorder="1"/>
    <xf numFmtId="0" fontId="5" fillId="0" borderId="1" xfId="1" quotePrefix="1" applyBorder="1" applyAlignment="1">
      <alignment horizontal="center" vertical="center"/>
    </xf>
    <xf numFmtId="0" fontId="5" fillId="0" borderId="1" xfId="1" quotePrefix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[Task-3.xlsx]3.3!PivotTable19</c:name>
    <c:fmtId val="22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69203849518809"/>
          <c:y val="0.14147710702828814"/>
          <c:w val="0.4895301837270341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'3.3'!$B$3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'3.3'!$A$4:$A$7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'3.3'!$B$4:$B$7</c:f>
              <c:numCache>
                <c:formatCode>General</c:formatCode>
                <c:ptCount val="4"/>
                <c:pt idx="0">
                  <c:v>15.559291798886182</c:v>
                </c:pt>
                <c:pt idx="1">
                  <c:v>14.067998324800023</c:v>
                </c:pt>
                <c:pt idx="2">
                  <c:v>17.480513118999934</c:v>
                </c:pt>
                <c:pt idx="3">
                  <c:v>17.599262914182141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0-48C8-AF35-792555E62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6007471"/>
        <c:axId val="176000271"/>
      </c:barChart>
      <c:barChart>
        <c:barDir val="col"/>
        <c:grouping val="clustered"/>
        <c:varyColors val="0"/>
        <c:ser>
          <c:idx val="1"/>
          <c:order val="1"/>
          <c:tx>
            <c:strRef>
              <c:f>'3.3'!$C$3</c:f>
              <c:strCache>
                <c:ptCount val="1"/>
                <c:pt idx="0">
                  <c:v>Sum of Ad_Spend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'3.3'!$A$4:$A$7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'3.3'!$C$4:$C$7</c:f>
              <c:numCache>
                <c:formatCode>General</c:formatCode>
                <c:ptCount val="4"/>
                <c:pt idx="0">
                  <c:v>1775883</c:v>
                </c:pt>
                <c:pt idx="1">
                  <c:v>1990523</c:v>
                </c:pt>
                <c:pt idx="2">
                  <c:v>1874083</c:v>
                </c:pt>
                <c:pt idx="3">
                  <c:v>1286371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D0-48C8-AF35-792555E62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17"/>
        <c:axId val="1062127791"/>
        <c:axId val="815874175"/>
      </c:barChart>
      <c:catAx>
        <c:axId val="1760074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0271"/>
        <c:crosses val="autoZero"/>
        <c:auto val="1"/>
        <c:lblAlgn val="ctr"/>
        <c:lblOffset val="100"/>
        <c:noMultiLvlLbl val="0"/>
      </c:catAx>
      <c:valAx>
        <c:axId val="1760002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7471"/>
        <c:crosses val="autoZero"/>
        <c:crossBetween val="between"/>
      </c:valAx>
      <c:valAx>
        <c:axId val="8158741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27791"/>
        <c:crosses val="max"/>
        <c:crossBetween val="between"/>
      </c:valAx>
      <c:catAx>
        <c:axId val="1062127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5874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62482630847617"/>
          <c:y val="0.4299077719451736"/>
          <c:w val="0.2238506013320343"/>
          <c:h val="0.31611001749781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4</xdr:row>
      <xdr:rowOff>95250</xdr:rowOff>
    </xdr:from>
    <xdr:to>
      <xdr:col>13</xdr:col>
      <xdr:colOff>361950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DBFE2-E103-4648-915D-9C516C961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vit/Desktop/Apple%20Marketing%20Data%20project-1(excel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ha Reddy" refreshedDate="45999.540271064812" createdVersion="8" refreshedVersion="8" minRefreshableVersion="3" recordCount="200" xr:uid="{68069BC9-596F-4C86-A64E-B4916C6B2A1C}">
  <cacheSource type="worksheet">
    <worksheetSource ref="A1:I201" sheet="Task-3" r:id="rId2"/>
  </cacheSource>
  <cacheFields count="8">
    <cacheField name="Week_Start_Date" numFmtId="164">
      <sharedItems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Net_Followers" numFmtId="0">
      <sharedItems containsSemiMixedTypes="0" containsString="0" containsNumber="1" containsInteger="1" minValue="893" maxValue="9335" count="198">
        <n v="3777"/>
        <n v="7432"/>
        <n v="8123"/>
        <n v="7871"/>
        <n v="7215"/>
        <n v="7478"/>
        <n v="4934"/>
        <n v="3435"/>
        <n v="7452"/>
        <n v="6073"/>
        <n v="6728"/>
        <n v="5678"/>
        <n v="8654"/>
        <n v="4885"/>
        <n v="8653"/>
        <n v="6430"/>
        <n v="5442"/>
        <n v="8463"/>
        <n v="3202"/>
        <n v="2726"/>
        <n v="7151"/>
        <n v="1918"/>
        <n v="6236"/>
        <n v="3224"/>
        <n v="3586"/>
        <n v="7092"/>
        <n v="1826"/>
        <n v="1381"/>
        <n v="7429"/>
        <n v="7733"/>
        <n v="7974"/>
        <n v="9082"/>
        <n v="1741"/>
        <n v="5796"/>
        <n v="3445"/>
        <n v="6039"/>
        <n v="3213"/>
        <n v="3497"/>
        <n v="2543"/>
        <n v="4847"/>
        <n v="5795"/>
        <n v="6853"/>
        <n v="7033"/>
        <n v="7005"/>
        <n v="6920"/>
        <n v="5071"/>
        <n v="6915"/>
        <n v="4356"/>
        <n v="1513"/>
        <n v="5753"/>
        <n v="8231"/>
        <n v="5303"/>
        <n v="5520"/>
        <n v="1876"/>
        <n v="6593"/>
        <n v="8228"/>
        <n v="7442"/>
        <n v="9118"/>
        <n v="2495"/>
        <n v="6121"/>
        <n v="7224"/>
        <n v="2199"/>
        <n v="2084"/>
        <n v="3925"/>
        <n v="1309"/>
        <n v="4942"/>
        <n v="4027"/>
        <n v="7704"/>
        <n v="8361"/>
        <n v="5698"/>
        <n v="1543"/>
        <n v="2832"/>
        <n v="2421"/>
        <n v="6201"/>
        <n v="4147"/>
        <n v="4808"/>
        <n v="7767"/>
        <n v="7115"/>
        <n v="3011"/>
        <n v="5478"/>
        <n v="7565"/>
        <n v="6918"/>
        <n v="7921"/>
        <n v="8487"/>
        <n v="6439"/>
        <n v="6003"/>
        <n v="6452"/>
        <n v="8360"/>
        <n v="7218"/>
        <n v="3056"/>
        <n v="1469"/>
        <n v="1017"/>
        <n v="8632"/>
        <n v="4882"/>
        <n v="5220"/>
        <n v="5206"/>
        <n v="6384"/>
        <n v="3179"/>
        <n v="6469"/>
        <n v="8485"/>
        <n v="6052"/>
        <n v="8945"/>
        <n v="5143"/>
        <n v="1369"/>
        <n v="5402"/>
        <n v="7630"/>
        <n v="3929"/>
        <n v="6642"/>
        <n v="3461"/>
        <n v="4790"/>
        <n v="949"/>
        <n v="3592"/>
        <n v="1210"/>
        <n v="8527"/>
        <n v="6275"/>
        <n v="1367"/>
        <n v="4314"/>
        <n v="6174"/>
        <n v="7328"/>
        <n v="8200"/>
        <n v="4214"/>
        <n v="8377"/>
        <n v="3079"/>
        <n v="9254"/>
        <n v="7668"/>
        <n v="8601"/>
        <n v="1534"/>
        <n v="7471"/>
        <n v="2919"/>
        <n v="7346"/>
        <n v="1001"/>
        <n v="8518"/>
        <n v="7421"/>
        <n v="4216"/>
        <n v="7654"/>
        <n v="7260"/>
        <n v="6361"/>
        <n v="5428"/>
        <n v="3643"/>
        <n v="3805"/>
        <n v="8128"/>
        <n v="8642"/>
        <n v="7958"/>
        <n v="3420"/>
        <n v="2525"/>
        <n v="1020"/>
        <n v="6677"/>
        <n v="1290"/>
        <n v="5101"/>
        <n v="5439"/>
        <n v="6029"/>
        <n v="9125"/>
        <n v="8979"/>
        <n v="6380"/>
        <n v="5962"/>
        <n v="6631"/>
        <n v="2081"/>
        <n v="4245"/>
        <n v="8723"/>
        <n v="2994"/>
        <n v="3555"/>
        <n v="2535"/>
        <n v="7509"/>
        <n v="8292"/>
        <n v="4852"/>
        <n v="7367"/>
        <n v="9044"/>
        <n v="2848"/>
        <n v="4189"/>
        <n v="9335"/>
        <n v="6272"/>
        <n v="6128"/>
        <n v="1567"/>
        <n v="1660"/>
        <n v="6434"/>
        <n v="4542"/>
        <n v="8319"/>
        <n v="1425"/>
        <n v="7849"/>
        <n v="6368"/>
        <n v="4788"/>
        <n v="5990"/>
        <n v="5491"/>
        <n v="6425"/>
        <n v="7058"/>
        <n v="3096"/>
        <n v="1512"/>
        <n v="2926"/>
        <n v="7555"/>
        <n v="5456"/>
        <n v="893"/>
        <n v="5210"/>
        <n v="2067"/>
        <n v="7959"/>
        <n v="2805"/>
        <n v="7025"/>
        <n v="1121"/>
        <n v="7436"/>
      </sharedItems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vitha Reddy" refreshedDate="46004.746549537034" backgroundQuery="1" createdVersion="8" refreshedVersion="8" minRefreshableVersion="3" recordCount="0" supportSubquery="1" supportAdvancedDrill="1" xr:uid="{9B65713E-2971-4802-8670-EA9E9C7E17B4}">
  <cacheSource type="external" connectionId="1"/>
  <cacheFields count="4">
    <cacheField name="[Measures].[Sum of New_Followers]" caption="Sum of New_Followers" numFmtId="0" hierarchy="21" level="32767"/>
    <cacheField name="[Measures].[Sum of Total_Followers]" caption="Sum of Total_Followers" numFmtId="0" hierarchy="22" level="32767"/>
    <cacheField name="[Range].[Platform].[Platform]" caption="Platform" numFmtId="0" hierarchy="1" level="1">
      <sharedItems count="4">
        <s v="Instagram"/>
        <s v="LinkedIn"/>
        <s v="Twitter"/>
        <s v="YouTube"/>
      </sharedItems>
    </cacheField>
    <cacheField name="[Measures].[Average of growth rate]" caption="Average of growth rate" numFmtId="0" hierarchy="24" level="32767"/>
  </cacheFields>
  <cacheHierarchies count="35">
    <cacheHierarchy uniqueName="[Range].[Week_Start_Date]" caption="Week_Start_Date" attribute="1" defaultMemberUniqueName="[Range].[Week_Start_Date].[All]" allUniqueName="[Range].[Week_Start_Date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2" memberValueDatatype="130" unbalanced="0">
      <fieldsUsage count="2">
        <fieldUsage x="-1"/>
        <fieldUsage x="2"/>
      </fieldsUsage>
    </cacheHierarchy>
    <cacheHierarchy uniqueName="[Range].[New_Followers]" caption="New_Followers" attribute="1" defaultMemberUniqueName="[Range].[New_Followers].[All]" allUniqueName="[Range].[New_Followers].[All]" dimensionUniqueName="[Range]" displayFolder="" count="0" memberValueDatatype="20" unbalanced="0"/>
    <cacheHierarchy uniqueName="[Range].[Unfollows]" caption="Unfollows" attribute="1" defaultMemberUniqueName="[Range].[Unfollows].[All]" allUniqueName="[Range].[Unfollows].[All]" dimensionUniqueName="[Range]" displayFolder="" count="0" memberValueDatatype="20" unbalanced="0"/>
    <cacheHierarchy uniqueName="[Range].[Total_Followers]" caption="Total_Followers" attribute="1" defaultMemberUniqueName="[Range].[Total_Followers].[All]" allUniqueName="[Range].[Total_Followers].[All]" dimensionUniqueName="[Range]" displayFolder="" count="0" memberValueDatatype="20" unbalanced="0"/>
    <cacheHierarchy uniqueName="[Range].[Net_Followers]" caption="Net_Followers" attribute="1" defaultMemberUniqueName="[Range].[Net_Followers].[All]" allUniqueName="[Range].[Net_Followers].[All]" dimensionUniqueName="[Range]" displayFolder="" count="0" memberValueDatatype="20" unbalanced="0"/>
    <cacheHierarchy uniqueName="[Range].[growth rate]" caption="growth rate" attribute="1" defaultMemberUniqueName="[Range].[growth rate].[All]" allUniqueName="[Range].[growth rate].[All]" dimensionUniqueName="[Range]" displayFolder="" count="0" memberValueDatatype="5" unbalanced="0"/>
    <cacheHierarchy uniqueName="[Range].[Engagement_Rate]" caption="Engagement_Rate" attribute="1" defaultMemberUniqueName="[Range].[Engagement_Rate].[All]" allUniqueName="[Range].[Engagement_Rate].[All]" dimensionUniqueName="[Range]" displayFolder="" count="0" memberValueDatatype="5" unbalanced="0"/>
    <cacheHierarchy uniqueName="[Range].[Ad_Spend]" caption="Ad_Spend" attribute="1" defaultMemberUniqueName="[Range].[Ad_Spend].[All]" allUniqueName="[Range].[Ad_Spend].[All]" dimensionUniqueName="[Range]" displayFolder="" count="0" memberValueDatatype="20" unbalanced="0"/>
    <cacheHierarchy uniqueName="[Range1].[Week_Start_Date]" caption="Week_Start_Date" attribute="1" defaultMemberUniqueName="[Range1].[Week_Start_Date].[All]" allUniqueName="[Range1].[Week_Start_Date].[All]" dimensionUniqueName="[Range1]" displayFolder="" count="0" memberValueDatatype="130" unbalanced="0"/>
    <cacheHierarchy uniqueName="[Range1].[Platform]" caption="Platform" attribute="1" defaultMemberUniqueName="[Range1].[Platform].[All]" allUniqueName="[Range1].[Platform].[All]" dimensionUniqueName="[Range1]" displayFolder="" count="0" memberValueDatatype="130" unbalanced="0"/>
    <cacheHierarchy uniqueName="[Range1].[New_Followers]" caption="New_Followers" attribute="1" defaultMemberUniqueName="[Range1].[New_Followers].[All]" allUniqueName="[Range1].[New_Followers].[All]" dimensionUniqueName="[Range1]" displayFolder="" count="0" memberValueDatatype="20" unbalanced="0"/>
    <cacheHierarchy uniqueName="[Range1].[Unfollows]" caption="Unfollows" attribute="1" defaultMemberUniqueName="[Range1].[Unfollows].[All]" allUniqueName="[Range1].[Unfollows].[All]" dimensionUniqueName="[Range1]" displayFolder="" count="0" memberValueDatatype="20" unbalanced="0"/>
    <cacheHierarchy uniqueName="[Range1].[Total_Followers]" caption="Total_Followers" attribute="1" defaultMemberUniqueName="[Range1].[Total_Followers].[All]" allUniqueName="[Range1].[Total_Followers].[All]" dimensionUniqueName="[Range1]" displayFolder="" count="0" memberValueDatatype="20" unbalanced="0"/>
    <cacheHierarchy uniqueName="[Range1].[Net_Followers]" caption="Net_Followers" attribute="1" defaultMemberUniqueName="[Range1].[Net_Followers].[All]" allUniqueName="[Range1].[Net_Followers].[All]" dimensionUniqueName="[Range1]" displayFolder="" count="0" memberValueDatatype="20" unbalanced="0"/>
    <cacheHierarchy uniqueName="[Range1].[growth rate]" caption="growth rate" attribute="1" defaultMemberUniqueName="[Range1].[growth rate].[All]" allUniqueName="[Range1].[growth rate].[All]" dimensionUniqueName="[Range1]" displayFolder="" count="0" memberValueDatatype="5" unbalanced="0"/>
    <cacheHierarchy uniqueName="[Range1].[Engagement_Rate]" caption="Engagement_Rate" attribute="1" defaultMemberUniqueName="[Range1].[Engagement_Rate].[All]" allUniqueName="[Range1].[Engagement_Rate].[All]" dimensionUniqueName="[Range1]" displayFolder="" count="0" memberValueDatatype="5" unbalanced="0"/>
    <cacheHierarchy uniqueName="[Range1].[Ad_Spend]" caption="Ad_Spend" attribute="1" defaultMemberUniqueName="[Range1].[Ad_Spend].[All]" allUniqueName="[Range1].[Ad_Spend].[All]" dimensionUniqueName="[Rang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New_Followers]" caption="Sum of New_Follower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_Followers]" caption="Sum of Total_Follower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growth rate]" caption="Sum of growth rat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growth rate]" caption="Average of growth rat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]" caption="Sum of Engagement_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Engagement_Rate]" caption="Average of Engagement_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d_Spend]" caption="Sum of Ad_Spend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New_Followers 2]" caption="Sum of New_Followers 2" measure="1" displayFolder="" measureGroup="Rang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Followers 2]" caption="Sum of Total_Followers 2" measure="1" displayFolder="" measureGroup="Ran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growth rate 2]" caption="Sum of growth rate 2" measure="1" displayFolder="" measureGroup="Rang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growth rate 2]" caption="Average of growth rate 2" measure="1" displayFolder="" measureGroup="Rang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ngagement_Rate 2]" caption="Sum of Engagement_Rate 2" measure="1" displayFolder="" measureGroup="Rang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Engagement_Rate 2]" caption="Average of Engagement_Rate 2" measure="1" displayFolder="" measureGroup="Rang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d_Spend 2]" caption="Sum of Ad_Spend 2" measure="1" displayFolder="" measureGroup="Rang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1" uniqueName="[Range1]" caption="Range1"/>
  </dimensions>
  <measureGroups count="2">
    <measureGroup name="Range" caption="Range"/>
    <measureGroup name="Range1" caption="Rang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vitha Reddy" refreshedDate="45999.64609814815" backgroundQuery="1" createdVersion="8" refreshedVersion="8" minRefreshableVersion="3" recordCount="0" supportSubquery="1" supportAdvancedDrill="1" xr:uid="{74C0275B-14EA-45C0-AAB1-A16AA559CC6A}">
  <cacheSource type="external" connectionId="1"/>
  <cacheFields count="4">
    <cacheField name="[Measures].[Average of growth rate 2]" caption="Average of growth rate 2" numFmtId="0" hierarchy="31" level="32767"/>
    <cacheField name="[Range1].[Platform].[Platform]" caption="Platform" numFmtId="0" hierarchy="10" level="1">
      <sharedItems count="4">
        <s v="Instagram"/>
        <s v="LinkedIn"/>
        <s v="Twitter"/>
        <s v="YouTube"/>
      </sharedItems>
    </cacheField>
    <cacheField name="[Measures].[Average of Engagement_Rate 2]" caption="Average of Engagement_Rate 2" numFmtId="0" hierarchy="33" level="32767"/>
    <cacheField name="[Measures].[Sum of Ad_Spend 2]" caption="Sum of Ad_Spend 2" numFmtId="0" hierarchy="34" level="32767"/>
  </cacheFields>
  <cacheHierarchies count="35">
    <cacheHierarchy uniqueName="[Range].[Week_Start_Date]" caption="Week_Start_Date" attribute="1" defaultMemberUniqueName="[Range].[Week_Start_Date].[All]" allUniqueName="[Range].[Week_Start_Date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0" memberValueDatatype="130" unbalanced="0"/>
    <cacheHierarchy uniqueName="[Range].[New_Followers]" caption="New_Followers" attribute="1" defaultMemberUniqueName="[Range].[New_Followers].[All]" allUniqueName="[Range].[New_Followers].[All]" dimensionUniqueName="[Range]" displayFolder="" count="0" memberValueDatatype="20" unbalanced="0"/>
    <cacheHierarchy uniqueName="[Range].[Unfollows]" caption="Unfollows" attribute="1" defaultMemberUniqueName="[Range].[Unfollows].[All]" allUniqueName="[Range].[Unfollows].[All]" dimensionUniqueName="[Range]" displayFolder="" count="0" memberValueDatatype="20" unbalanced="0"/>
    <cacheHierarchy uniqueName="[Range].[Total_Followers]" caption="Total_Followers" attribute="1" defaultMemberUniqueName="[Range].[Total_Followers].[All]" allUniqueName="[Range].[Total_Followers].[All]" dimensionUniqueName="[Range]" displayFolder="" count="0" memberValueDatatype="20" unbalanced="0"/>
    <cacheHierarchy uniqueName="[Range].[Net_Followers]" caption="Net_Followers" attribute="1" defaultMemberUniqueName="[Range].[Net_Followers].[All]" allUniqueName="[Range].[Net_Followers].[All]" dimensionUniqueName="[Range]" displayFolder="" count="0" memberValueDatatype="20" unbalanced="0"/>
    <cacheHierarchy uniqueName="[Range].[growth rate]" caption="growth rate" attribute="1" defaultMemberUniqueName="[Range].[growth rate].[All]" allUniqueName="[Range].[growth rate].[All]" dimensionUniqueName="[Range]" displayFolder="" count="0" memberValueDatatype="5" unbalanced="0"/>
    <cacheHierarchy uniqueName="[Range].[Engagement_Rate]" caption="Engagement_Rate" attribute="1" defaultMemberUniqueName="[Range].[Engagement_Rate].[All]" allUniqueName="[Range].[Engagement_Rate].[All]" dimensionUniqueName="[Range]" displayFolder="" count="0" memberValueDatatype="5" unbalanced="0"/>
    <cacheHierarchy uniqueName="[Range].[Ad_Spend]" caption="Ad_Spend" attribute="1" defaultMemberUniqueName="[Range].[Ad_Spend].[All]" allUniqueName="[Range].[Ad_Spend].[All]" dimensionUniqueName="[Range]" displayFolder="" count="0" memberValueDatatype="20" unbalanced="0"/>
    <cacheHierarchy uniqueName="[Range1].[Week_Start_Date]" caption="Week_Start_Date" attribute="1" defaultMemberUniqueName="[Range1].[Week_Start_Date].[All]" allUniqueName="[Range1].[Week_Start_Date].[All]" dimensionUniqueName="[Range1]" displayFolder="" count="0" memberValueDatatype="130" unbalanced="0"/>
    <cacheHierarchy uniqueName="[Range1].[Platform]" caption="Platform" attribute="1" defaultMemberUniqueName="[Range1].[Platform].[All]" allUniqueName="[Range1].[Platform].[All]" dimensionUniqueName="[Range1]" displayFolder="" count="2" memberValueDatatype="130" unbalanced="0">
      <fieldsUsage count="2">
        <fieldUsage x="-1"/>
        <fieldUsage x="1"/>
      </fieldsUsage>
    </cacheHierarchy>
    <cacheHierarchy uniqueName="[Range1].[New_Followers]" caption="New_Followers" attribute="1" defaultMemberUniqueName="[Range1].[New_Followers].[All]" allUniqueName="[Range1].[New_Followers].[All]" dimensionUniqueName="[Range1]" displayFolder="" count="0" memberValueDatatype="20" unbalanced="0"/>
    <cacheHierarchy uniqueName="[Range1].[Unfollows]" caption="Unfollows" attribute="1" defaultMemberUniqueName="[Range1].[Unfollows].[All]" allUniqueName="[Range1].[Unfollows].[All]" dimensionUniqueName="[Range1]" displayFolder="" count="0" memberValueDatatype="20" unbalanced="0"/>
    <cacheHierarchy uniqueName="[Range1].[Total_Followers]" caption="Total_Followers" attribute="1" defaultMemberUniqueName="[Range1].[Total_Followers].[All]" allUniqueName="[Range1].[Total_Followers].[All]" dimensionUniqueName="[Range1]" displayFolder="" count="0" memberValueDatatype="20" unbalanced="0"/>
    <cacheHierarchy uniqueName="[Range1].[Net_Followers]" caption="Net_Followers" attribute="1" defaultMemberUniqueName="[Range1].[Net_Followers].[All]" allUniqueName="[Range1].[Net_Followers].[All]" dimensionUniqueName="[Range1]" displayFolder="" count="0" memberValueDatatype="20" unbalanced="0"/>
    <cacheHierarchy uniqueName="[Range1].[growth rate]" caption="growth rate" attribute="1" defaultMemberUniqueName="[Range1].[growth rate].[All]" allUniqueName="[Range1].[growth rate].[All]" dimensionUniqueName="[Range1]" displayFolder="" count="0" memberValueDatatype="5" unbalanced="0"/>
    <cacheHierarchy uniqueName="[Range1].[Engagement_Rate]" caption="Engagement_Rate" attribute="1" defaultMemberUniqueName="[Range1].[Engagement_Rate].[All]" allUniqueName="[Range1].[Engagement_Rate].[All]" dimensionUniqueName="[Range1]" displayFolder="" count="0" memberValueDatatype="5" unbalanced="0"/>
    <cacheHierarchy uniqueName="[Range1].[Ad_Spend]" caption="Ad_Spend" attribute="1" defaultMemberUniqueName="[Range1].[Ad_Spend].[All]" allUniqueName="[Range1].[Ad_Spend].[All]" dimensionUniqueName="[Rang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1]" caption="__XL_Count Range1" measure="1" displayFolder="" measureGroup="Range1" count="0" hidden="1"/>
    <cacheHierarchy uniqueName="[Measures].[__No measures defined]" caption="__No measures defined" measure="1" displayFolder="" count="0" hidden="1"/>
    <cacheHierarchy uniqueName="[Measures].[Sum of New_Followers]" caption="Sum of New_Follower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_Followers]" caption="Sum of Total_Follower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growth rate]" caption="Sum of growth rat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growth rate]" caption="Average of growth rat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]" caption="Sum of Engagement_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Engagement_Rate]" caption="Average of Engagement_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d_Spend]" caption="Sum of Ad_Spend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New_Followers 2]" caption="Sum of New_Followers 2" measure="1" displayFolder="" measureGroup="Rang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Followers 2]" caption="Sum of Total_Followers 2" measure="1" displayFolder="" measureGroup="Rang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growth rate 2]" caption="Sum of growth rate 2" measure="1" displayFolder="" measureGroup="Rang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growth rate 2]" caption="Average of growth rate 2" measure="1" displayFolder="" measureGroup="Rang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ngagement_Rate 2]" caption="Sum of Engagement_Rate 2" measure="1" displayFolder="" measureGroup="Rang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Engagement_Rate 2]" caption="Average of Engagement_Rate 2" measure="1" displayFolder="" measureGroup="Rang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d_Spend 2]" caption="Sum of Ad_Spend 2" measure="1" displayFolder="" measureGroup="Rang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1" uniqueName="[Range1]" caption="Range1"/>
  </dimensions>
  <measureGroups count="2">
    <measureGroup name="Range" caption="Range"/>
    <measureGroup name="Range1" caption="Rang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4138"/>
    <n v="361"/>
    <n v="103777"/>
    <x v="0"/>
    <n v="56.637790647253247"/>
    <n v="23944"/>
  </r>
  <r>
    <s v="2024-06-03"/>
    <x v="1"/>
    <n v="8693"/>
    <n v="1261"/>
    <n v="111209"/>
    <x v="1"/>
    <n v="69.475492091467416"/>
    <n v="29873"/>
  </r>
  <r>
    <s v="2024-06-03"/>
    <x v="2"/>
    <n v="9264"/>
    <n v="1141"/>
    <n v="119332"/>
    <x v="2"/>
    <n v="92.312204605638044"/>
    <n v="50372"/>
  </r>
  <r>
    <s v="2024-06-03"/>
    <x v="2"/>
    <n v="8842"/>
    <n v="971"/>
    <n v="127203"/>
    <x v="3"/>
    <n v="16.351815601833291"/>
    <n v="33928"/>
  </r>
  <r>
    <s v="2024-06-10"/>
    <x v="0"/>
    <n v="7721"/>
    <n v="506"/>
    <n v="134418"/>
    <x v="4"/>
    <n v="35.577824398518047"/>
    <n v="25379"/>
  </r>
  <r>
    <s v="2024-06-10"/>
    <x v="2"/>
    <n v="8002"/>
    <n v="524"/>
    <n v="141896"/>
    <x v="5"/>
    <n v="52.064892597395271"/>
    <n v="46751"/>
  </r>
  <r>
    <s v="2024-06-10"/>
    <x v="1"/>
    <n v="5225"/>
    <n v="291"/>
    <n v="146830"/>
    <x v="6"/>
    <n v="19.551862698358651"/>
    <n v="44546"/>
  </r>
  <r>
    <s v="2024-06-10"/>
    <x v="1"/>
    <n v="3978"/>
    <n v="543"/>
    <n v="150265"/>
    <x v="7"/>
    <n v="49.159817655475329"/>
    <n v="34286"/>
  </r>
  <r>
    <s v="2024-06-17"/>
    <x v="0"/>
    <n v="8373"/>
    <n v="921"/>
    <n v="157717"/>
    <x v="8"/>
    <n v="12.2263294381709"/>
    <n v="15110"/>
  </r>
  <r>
    <s v="2024-06-17"/>
    <x v="1"/>
    <n v="6907"/>
    <n v="834"/>
    <n v="163790"/>
    <x v="9"/>
    <n v="54.158984064961238"/>
    <n v="22087"/>
  </r>
  <r>
    <s v="2024-06-17"/>
    <x v="3"/>
    <n v="7097"/>
    <n v="369"/>
    <n v="170518"/>
    <x v="10"/>
    <n v="9.2506362964613711"/>
    <n v="33762"/>
  </r>
  <r>
    <s v="2024-06-17"/>
    <x v="0"/>
    <n v="6656"/>
    <n v="978"/>
    <n v="176196"/>
    <x v="11"/>
    <n v="60.425889350496043"/>
    <n v="27081"/>
  </r>
  <r>
    <s v="2024-06-24"/>
    <x v="1"/>
    <n v="9984"/>
    <n v="1330"/>
    <n v="184850"/>
    <x v="12"/>
    <n v="57.524479307546663"/>
    <n v="44947"/>
  </r>
  <r>
    <s v="2024-06-24"/>
    <x v="0"/>
    <n v="5259"/>
    <n v="374"/>
    <n v="189735"/>
    <x v="13"/>
    <n v="14.827522597306769"/>
    <n v="19596"/>
  </r>
  <r>
    <s v="2024-06-24"/>
    <x v="2"/>
    <n v="9286"/>
    <n v="633"/>
    <n v="198388"/>
    <x v="14"/>
    <n v="5.4343004617214756"/>
    <n v="48019"/>
  </r>
  <r>
    <s v="2024-06-24"/>
    <x v="1"/>
    <n v="6901"/>
    <n v="471"/>
    <n v="204818"/>
    <x v="15"/>
    <n v="60.827661631301943"/>
    <n v="52003"/>
  </r>
  <r>
    <s v="2024-07-01"/>
    <x v="3"/>
    <n v="5917"/>
    <n v="475"/>
    <n v="210260"/>
    <x v="16"/>
    <n v="17.894035955483691"/>
    <n v="28313"/>
  </r>
  <r>
    <s v="2024-07-01"/>
    <x v="1"/>
    <n v="9429"/>
    <n v="966"/>
    <n v="218723"/>
    <x v="17"/>
    <n v="7.6914636320825887"/>
    <n v="57639"/>
  </r>
  <r>
    <s v="2024-07-01"/>
    <x v="0"/>
    <n v="3530"/>
    <n v="328"/>
    <n v="221925"/>
    <x v="18"/>
    <n v="12.8372197814577"/>
    <n v="11013"/>
  </r>
  <r>
    <s v="2024-07-01"/>
    <x v="0"/>
    <n v="2960"/>
    <n v="234"/>
    <n v="224651"/>
    <x v="19"/>
    <n v="17.41278694508371"/>
    <n v="59378"/>
  </r>
  <r>
    <s v="2024-07-08"/>
    <x v="1"/>
    <n v="8045"/>
    <n v="894"/>
    <n v="231802"/>
    <x v="20"/>
    <n v="47.634187798207087"/>
    <n v="33705"/>
  </r>
  <r>
    <s v="2024-07-08"/>
    <x v="3"/>
    <n v="2048"/>
    <n v="130"/>
    <n v="233720"/>
    <x v="21"/>
    <n v="39.284614068115687"/>
    <n v="11828"/>
  </r>
  <r>
    <s v="2024-07-08"/>
    <x v="3"/>
    <n v="6772"/>
    <n v="536"/>
    <n v="239956"/>
    <x v="22"/>
    <n v="9.8205504342462788"/>
    <n v="17909"/>
  </r>
  <r>
    <s v="2024-07-08"/>
    <x v="3"/>
    <n v="3529"/>
    <n v="305"/>
    <n v="243180"/>
    <x v="23"/>
    <n v="41.606628834608109"/>
    <n v="48356"/>
  </r>
  <r>
    <s v="2024-07-15"/>
    <x v="0"/>
    <n v="3964"/>
    <n v="378"/>
    <n v="246766"/>
    <x v="24"/>
    <n v="13.6355899921383"/>
    <n v="23109"/>
  </r>
  <r>
    <s v="2024-07-15"/>
    <x v="1"/>
    <n v="8137"/>
    <n v="1045"/>
    <n v="253858"/>
    <x v="25"/>
    <n v="20.47246886054408"/>
    <n v="12023"/>
  </r>
  <r>
    <s v="2024-07-15"/>
    <x v="2"/>
    <n v="1963"/>
    <n v="137"/>
    <n v="255684"/>
    <x v="26"/>
    <n v="11.2083665774941"/>
    <n v="24537"/>
  </r>
  <r>
    <s v="2024-07-15"/>
    <x v="0"/>
    <n v="1536"/>
    <n v="155"/>
    <n v="257065"/>
    <x v="27"/>
    <n v="12.15762550327738"/>
    <n v="36661"/>
  </r>
  <r>
    <s v="2024-07-22"/>
    <x v="3"/>
    <n v="8340"/>
    <n v="911"/>
    <n v="264494"/>
    <x v="28"/>
    <n v="37.302925586213682"/>
    <n v="48659"/>
  </r>
  <r>
    <s v="2024-07-22"/>
    <x v="1"/>
    <n v="8179"/>
    <n v="446"/>
    <n v="272227"/>
    <x v="29"/>
    <n v="41.82171496581897"/>
    <n v="43848"/>
  </r>
  <r>
    <s v="2024-07-22"/>
    <x v="3"/>
    <n v="8967"/>
    <n v="993"/>
    <n v="280201"/>
    <x v="30"/>
    <n v="52.792102811910027"/>
    <n v="47804"/>
  </r>
  <r>
    <s v="2024-07-22"/>
    <x v="2"/>
    <n v="9734"/>
    <n v="652"/>
    <n v="289283"/>
    <x v="31"/>
    <n v="49.647922622483861"/>
    <n v="25379"/>
  </r>
  <r>
    <s v="2024-07-29"/>
    <x v="3"/>
    <n v="1845"/>
    <n v="104"/>
    <n v="291024"/>
    <x v="32"/>
    <n v="28.158158777282971"/>
    <n v="37766"/>
  </r>
  <r>
    <s v="2024-07-29"/>
    <x v="3"/>
    <n v="6777"/>
    <n v="981"/>
    <n v="296820"/>
    <x v="33"/>
    <n v="23.920557913887201"/>
    <n v="53590"/>
  </r>
  <r>
    <s v="2024-07-29"/>
    <x v="2"/>
    <n v="4036"/>
    <n v="591"/>
    <n v="300265"/>
    <x v="34"/>
    <n v="44.219272975538267"/>
    <n v="12563"/>
  </r>
  <r>
    <s v="2024-07-29"/>
    <x v="1"/>
    <n v="6947"/>
    <n v="908"/>
    <n v="306304"/>
    <x v="35"/>
    <n v="14.117673944839121"/>
    <n v="46060"/>
  </r>
  <r>
    <s v="2024-08-05"/>
    <x v="0"/>
    <n v="3494"/>
    <n v="281"/>
    <n v="309517"/>
    <x v="36"/>
    <n v="27.765518533715429"/>
    <n v="39197"/>
  </r>
  <r>
    <s v="2024-08-05"/>
    <x v="1"/>
    <n v="3719"/>
    <n v="222"/>
    <n v="313014"/>
    <x v="37"/>
    <n v="21.669318305251519"/>
    <n v="13586"/>
  </r>
  <r>
    <s v="2024-08-05"/>
    <x v="2"/>
    <n v="2884"/>
    <n v="341"/>
    <n v="315557"/>
    <x v="38"/>
    <n v="46.999749649033298"/>
    <n v="26087"/>
  </r>
  <r>
    <s v="2024-08-05"/>
    <x v="3"/>
    <n v="5349"/>
    <n v="502"/>
    <n v="320404"/>
    <x v="39"/>
    <n v="5.2152906954969351"/>
    <n v="58868"/>
  </r>
  <r>
    <s v="2024-08-12"/>
    <x v="1"/>
    <n v="6179"/>
    <n v="384"/>
    <n v="326199"/>
    <x v="40"/>
    <n v="14.71218489327067"/>
    <n v="33225"/>
  </r>
  <r>
    <s v="2024-08-12"/>
    <x v="0"/>
    <n v="7610"/>
    <n v="757"/>
    <n v="333052"/>
    <x v="41"/>
    <n v="44.450416151231643"/>
    <n v="39750"/>
  </r>
  <r>
    <s v="2024-08-12"/>
    <x v="2"/>
    <n v="7430"/>
    <n v="397"/>
    <n v="340085"/>
    <x v="42"/>
    <n v="28.065042562888689"/>
    <n v="16643"/>
  </r>
  <r>
    <s v="2024-08-12"/>
    <x v="1"/>
    <n v="8154"/>
    <n v="1149"/>
    <n v="347090"/>
    <x v="43"/>
    <n v="26.003918292085629"/>
    <n v="37523"/>
  </r>
  <r>
    <s v="2024-08-19"/>
    <x v="0"/>
    <n v="7488"/>
    <n v="568"/>
    <n v="354010"/>
    <x v="44"/>
    <n v="13.47730290104799"/>
    <n v="46727"/>
  </r>
  <r>
    <s v="2024-08-19"/>
    <x v="2"/>
    <n v="5737"/>
    <n v="666"/>
    <n v="359081"/>
    <x v="45"/>
    <n v="4.6034181702735593"/>
    <n v="21005"/>
  </r>
  <r>
    <s v="2024-08-19"/>
    <x v="0"/>
    <n v="7525"/>
    <n v="610"/>
    <n v="365996"/>
    <x v="46"/>
    <n v="5.7694619613329108"/>
    <n v="53543"/>
  </r>
  <r>
    <s v="2024-08-19"/>
    <x v="2"/>
    <n v="4850"/>
    <n v="494"/>
    <n v="370352"/>
    <x v="47"/>
    <n v="20.46539508359615"/>
    <n v="10161"/>
  </r>
  <r>
    <s v="2024-08-26"/>
    <x v="3"/>
    <n v="1689"/>
    <n v="176"/>
    <n v="371865"/>
    <x v="48"/>
    <n v="38.012181840183942"/>
    <n v="26029"/>
  </r>
  <r>
    <s v="2024-08-26"/>
    <x v="1"/>
    <n v="6175"/>
    <n v="422"/>
    <n v="377618"/>
    <x v="49"/>
    <n v="37.86101298137271"/>
    <n v="59745"/>
  </r>
  <r>
    <s v="2024-08-26"/>
    <x v="0"/>
    <n v="9648"/>
    <n v="1417"/>
    <n v="385849"/>
    <x v="50"/>
    <n v="3.6633501706626168"/>
    <n v="24226"/>
  </r>
  <r>
    <s v="2024-08-26"/>
    <x v="2"/>
    <n v="6078"/>
    <n v="775"/>
    <n v="391152"/>
    <x v="51"/>
    <n v="37.760512537325639"/>
    <n v="38731"/>
  </r>
  <r>
    <s v="2024-09-02"/>
    <x v="0"/>
    <n v="6448"/>
    <n v="928"/>
    <n v="396672"/>
    <x v="52"/>
    <n v="30.118586640851881"/>
    <n v="53922"/>
  </r>
  <r>
    <s v="2024-09-02"/>
    <x v="0"/>
    <n v="2179"/>
    <n v="303"/>
    <n v="398548"/>
    <x v="53"/>
    <n v="33.909842729106657"/>
    <n v="54848"/>
  </r>
  <r>
    <s v="2024-09-02"/>
    <x v="1"/>
    <n v="7406"/>
    <n v="813"/>
    <n v="405141"/>
    <x v="54"/>
    <n v="24.457411123534769"/>
    <n v="13390"/>
  </r>
  <r>
    <s v="2024-09-02"/>
    <x v="3"/>
    <n v="9591"/>
    <n v="1363"/>
    <n v="413369"/>
    <x v="55"/>
    <n v="10.494255737609739"/>
    <n v="15997"/>
  </r>
  <r>
    <s v="2024-09-09"/>
    <x v="0"/>
    <n v="7907"/>
    <n v="465"/>
    <n v="420811"/>
    <x v="56"/>
    <n v="33.257448118038738"/>
    <n v="22693"/>
  </r>
  <r>
    <s v="2024-09-09"/>
    <x v="2"/>
    <n v="9800"/>
    <n v="682"/>
    <n v="429929"/>
    <x v="57"/>
    <n v="6.2966210699906267"/>
    <n v="59815"/>
  </r>
  <r>
    <s v="2024-09-09"/>
    <x v="2"/>
    <n v="2638"/>
    <n v="143"/>
    <n v="432424"/>
    <x v="58"/>
    <n v="6.9547481175882924"/>
    <n v="52092"/>
  </r>
  <r>
    <s v="2024-09-09"/>
    <x v="3"/>
    <n v="6671"/>
    <n v="550"/>
    <n v="438545"/>
    <x v="59"/>
    <n v="17.750287883797562"/>
    <n v="10541"/>
  </r>
  <r>
    <s v="2024-09-16"/>
    <x v="2"/>
    <n v="7928"/>
    <n v="704"/>
    <n v="445769"/>
    <x v="60"/>
    <n v="11.194362999670229"/>
    <n v="31817"/>
  </r>
  <r>
    <s v="2024-09-16"/>
    <x v="3"/>
    <n v="2382"/>
    <n v="183"/>
    <n v="447968"/>
    <x v="61"/>
    <n v="4.7335970426459033"/>
    <n v="47861"/>
  </r>
  <r>
    <s v="2024-09-16"/>
    <x v="2"/>
    <n v="2403"/>
    <n v="319"/>
    <n v="450052"/>
    <x v="62"/>
    <n v="29.92120910472568"/>
    <n v="23428"/>
  </r>
  <r>
    <s v="2024-09-16"/>
    <x v="1"/>
    <n v="4292"/>
    <n v="367"/>
    <n v="453977"/>
    <x v="63"/>
    <n v="3.5037017293827661"/>
    <n v="53934"/>
  </r>
  <r>
    <s v="2024-09-23"/>
    <x v="0"/>
    <n v="1419"/>
    <n v="110"/>
    <n v="455286"/>
    <x v="64"/>
    <n v="31.554451487636339"/>
    <n v="58831"/>
  </r>
  <r>
    <s v="2024-09-23"/>
    <x v="1"/>
    <n v="5517"/>
    <n v="575"/>
    <n v="460228"/>
    <x v="65"/>
    <n v="29.45844233727631"/>
    <n v="20258"/>
  </r>
  <r>
    <s v="2024-09-23"/>
    <x v="0"/>
    <n v="4302"/>
    <n v="275"/>
    <n v="464255"/>
    <x v="66"/>
    <n v="15.72131694865968"/>
    <n v="26044"/>
  </r>
  <r>
    <s v="2024-09-23"/>
    <x v="0"/>
    <n v="8857"/>
    <n v="1153"/>
    <n v="471959"/>
    <x v="67"/>
    <n v="19.214592793018038"/>
    <n v="39411"/>
  </r>
  <r>
    <s v="2024-09-30"/>
    <x v="0"/>
    <n v="8870"/>
    <n v="509"/>
    <n v="480320"/>
    <x v="68"/>
    <n v="25.077864756828781"/>
    <n v="15469"/>
  </r>
  <r>
    <s v="2024-09-30"/>
    <x v="1"/>
    <n v="6693"/>
    <n v="995"/>
    <n v="486018"/>
    <x v="69"/>
    <n v="23.761877132122681"/>
    <n v="38854"/>
  </r>
  <r>
    <s v="2024-09-30"/>
    <x v="0"/>
    <n v="1767"/>
    <n v="224"/>
    <n v="487561"/>
    <x v="70"/>
    <n v="13.208603641390511"/>
    <n v="16256"/>
  </r>
  <r>
    <s v="2024-09-30"/>
    <x v="1"/>
    <n v="3044"/>
    <n v="212"/>
    <n v="490393"/>
    <x v="71"/>
    <n v="8.5343795690395261"/>
    <n v="20720"/>
  </r>
  <r>
    <s v="2024-10-07"/>
    <x v="3"/>
    <n v="2549"/>
    <n v="128"/>
    <n v="492814"/>
    <x v="72"/>
    <n v="12.734216154573531"/>
    <n v="43937"/>
  </r>
  <r>
    <s v="2024-10-07"/>
    <x v="2"/>
    <n v="7140"/>
    <n v="939"/>
    <n v="499015"/>
    <x v="73"/>
    <n v="25.120888149654821"/>
    <n v="43598"/>
  </r>
  <r>
    <s v="2024-10-07"/>
    <x v="2"/>
    <n v="4716"/>
    <n v="569"/>
    <n v="503162"/>
    <x v="74"/>
    <n v="25.64820077827817"/>
    <n v="11651"/>
  </r>
  <r>
    <s v="2024-10-07"/>
    <x v="0"/>
    <n v="5481"/>
    <n v="673"/>
    <n v="507970"/>
    <x v="75"/>
    <n v="13.08758391243577"/>
    <n v="29194"/>
  </r>
  <r>
    <s v="2024-10-14"/>
    <x v="1"/>
    <n v="8898"/>
    <n v="1131"/>
    <n v="515737"/>
    <x v="76"/>
    <n v="2.1877429775253669"/>
    <n v="35051"/>
  </r>
  <r>
    <s v="2024-10-14"/>
    <x v="2"/>
    <n v="7548"/>
    <n v="433"/>
    <n v="522852"/>
    <x v="77"/>
    <n v="8.3562843787534522"/>
    <n v="37386"/>
  </r>
  <r>
    <s v="2024-10-14"/>
    <x v="1"/>
    <n v="3293"/>
    <n v="282"/>
    <n v="525863"/>
    <x v="78"/>
    <n v="27.040693108281051"/>
    <n v="19518"/>
  </r>
  <r>
    <s v="2024-10-14"/>
    <x v="1"/>
    <n v="5837"/>
    <n v="359"/>
    <n v="531341"/>
    <x v="79"/>
    <n v="6.8073045370110723"/>
    <n v="56026"/>
  </r>
  <r>
    <s v="2024-10-21"/>
    <x v="0"/>
    <n v="8758"/>
    <n v="1193"/>
    <n v="538906"/>
    <x v="80"/>
    <n v="3.4213758985797149"/>
    <n v="26184"/>
  </r>
  <r>
    <s v="2024-10-21"/>
    <x v="2"/>
    <n v="7793"/>
    <n v="875"/>
    <n v="545824"/>
    <x v="81"/>
    <n v="5.5136820660139527"/>
    <n v="43787"/>
  </r>
  <r>
    <s v="2024-10-21"/>
    <x v="0"/>
    <n v="8638"/>
    <n v="717"/>
    <n v="553745"/>
    <x v="82"/>
    <n v="26.921416897669499"/>
    <n v="31621"/>
  </r>
  <r>
    <s v="2024-10-21"/>
    <x v="0"/>
    <n v="8993"/>
    <n v="506"/>
    <n v="562232"/>
    <x v="83"/>
    <n v="3.5131404829323132"/>
    <n v="20028"/>
  </r>
  <r>
    <s v="2024-10-28"/>
    <x v="2"/>
    <n v="7007"/>
    <n v="568"/>
    <n v="568671"/>
    <x v="84"/>
    <n v="11.50507059442103"/>
    <n v="22448"/>
  </r>
  <r>
    <s v="2024-10-28"/>
    <x v="2"/>
    <n v="6542"/>
    <n v="539"/>
    <n v="574674"/>
    <x v="85"/>
    <n v="6.4069368024305948"/>
    <n v="55253"/>
  </r>
  <r>
    <s v="2024-10-28"/>
    <x v="3"/>
    <n v="7356"/>
    <n v="904"/>
    <n v="581126"/>
    <x v="86"/>
    <n v="17.560907617280929"/>
    <n v="44051"/>
  </r>
  <r>
    <s v="2024-10-28"/>
    <x v="3"/>
    <n v="9433"/>
    <n v="1073"/>
    <n v="589486"/>
    <x v="87"/>
    <n v="7.2934726185185053"/>
    <n v="59811"/>
  </r>
  <r>
    <s v="2024-11-04"/>
    <x v="1"/>
    <n v="8380"/>
    <n v="1162"/>
    <n v="596704"/>
    <x v="88"/>
    <n v="18.05853488496809"/>
    <n v="40447"/>
  </r>
  <r>
    <s v="2024-11-04"/>
    <x v="2"/>
    <n v="3385"/>
    <n v="329"/>
    <n v="599760"/>
    <x v="89"/>
    <n v="17.61788048552755"/>
    <n v="28394"/>
  </r>
  <r>
    <s v="2024-11-04"/>
    <x v="3"/>
    <n v="5268"/>
    <n v="326"/>
    <n v="604702"/>
    <x v="65"/>
    <n v="23.435841125050029"/>
    <n v="44501"/>
  </r>
  <r>
    <s v="2024-11-04"/>
    <x v="1"/>
    <n v="1671"/>
    <n v="202"/>
    <n v="606171"/>
    <x v="90"/>
    <n v="15.150015424690389"/>
    <n v="40254"/>
  </r>
  <r>
    <s v="2024-11-11"/>
    <x v="1"/>
    <n v="1163"/>
    <n v="146"/>
    <n v="607188"/>
    <x v="91"/>
    <n v="21.77776899411715"/>
    <n v="28509"/>
  </r>
  <r>
    <s v="2024-11-11"/>
    <x v="1"/>
    <n v="9656"/>
    <n v="1024"/>
    <n v="615820"/>
    <x v="92"/>
    <n v="8.7252768666168681"/>
    <n v="58998"/>
  </r>
  <r>
    <s v="2024-11-11"/>
    <x v="3"/>
    <n v="5592"/>
    <n v="710"/>
    <n v="620702"/>
    <x v="93"/>
    <n v="9.07118069540617"/>
    <n v="24472"/>
  </r>
  <r>
    <s v="2024-11-11"/>
    <x v="2"/>
    <n v="5795"/>
    <n v="575"/>
    <n v="625922"/>
    <x v="94"/>
    <n v="3.0908004511744269"/>
    <n v="55657"/>
  </r>
  <r>
    <s v="2024-11-18"/>
    <x v="0"/>
    <n v="5798"/>
    <n v="592"/>
    <n v="631128"/>
    <x v="95"/>
    <n v="1.6774727155188811"/>
    <n v="13471"/>
  </r>
  <r>
    <s v="2024-11-18"/>
    <x v="1"/>
    <n v="7036"/>
    <n v="652"/>
    <n v="637512"/>
    <x v="96"/>
    <n v="3.5705994553828009"/>
    <n v="51796"/>
  </r>
  <r>
    <s v="2024-11-18"/>
    <x v="3"/>
    <n v="3355"/>
    <n v="176"/>
    <n v="640691"/>
    <x v="97"/>
    <n v="12.426427091999111"/>
    <n v="40268"/>
  </r>
  <r>
    <s v="2024-11-18"/>
    <x v="3"/>
    <n v="6887"/>
    <n v="418"/>
    <n v="647160"/>
    <x v="98"/>
    <n v="20.240280610668151"/>
    <n v="18329"/>
  </r>
  <r>
    <s v="2024-11-25"/>
    <x v="0"/>
    <n v="8961"/>
    <n v="476"/>
    <n v="655645"/>
    <x v="99"/>
    <n v="15.458517947974901"/>
    <n v="44865"/>
  </r>
  <r>
    <s v="2024-11-25"/>
    <x v="0"/>
    <n v="6827"/>
    <n v="775"/>
    <n v="661697"/>
    <x v="100"/>
    <n v="15.96622018839439"/>
    <n v="56850"/>
  </r>
  <r>
    <s v="2024-11-25"/>
    <x v="3"/>
    <n v="9737"/>
    <n v="792"/>
    <n v="670642"/>
    <x v="101"/>
    <n v="5.301785453341723"/>
    <n v="56698"/>
  </r>
  <r>
    <s v="2024-11-25"/>
    <x v="2"/>
    <n v="5719"/>
    <n v="576"/>
    <n v="675785"/>
    <x v="102"/>
    <n v="10.21656296011305"/>
    <n v="38272"/>
  </r>
  <r>
    <s v="2024-12-02"/>
    <x v="0"/>
    <n v="1593"/>
    <n v="224"/>
    <n v="677154"/>
    <x v="103"/>
    <n v="4.1495730660972248"/>
    <n v="52845"/>
  </r>
  <r>
    <s v="2024-12-02"/>
    <x v="3"/>
    <n v="5839"/>
    <n v="437"/>
    <n v="682556"/>
    <x v="104"/>
    <n v="17.44750613869045"/>
    <n v="16397"/>
  </r>
  <r>
    <s v="2024-12-02"/>
    <x v="0"/>
    <n v="8394"/>
    <n v="764"/>
    <n v="690186"/>
    <x v="105"/>
    <n v="6.3556780346167558"/>
    <n v="42373"/>
  </r>
  <r>
    <s v="2024-12-02"/>
    <x v="2"/>
    <n v="4493"/>
    <n v="564"/>
    <n v="694115"/>
    <x v="106"/>
    <n v="16.625487131094989"/>
    <n v="45525"/>
  </r>
  <r>
    <s v="2024-12-09"/>
    <x v="1"/>
    <n v="7164"/>
    <n v="522"/>
    <n v="700757"/>
    <x v="107"/>
    <n v="13.449169969047761"/>
    <n v="34570"/>
  </r>
  <r>
    <s v="2024-12-09"/>
    <x v="0"/>
    <n v="3672"/>
    <n v="211"/>
    <n v="704218"/>
    <x v="108"/>
    <n v="12.35057894004413"/>
    <n v="28284"/>
  </r>
  <r>
    <s v="2024-12-09"/>
    <x v="2"/>
    <n v="5200"/>
    <n v="410"/>
    <n v="709008"/>
    <x v="109"/>
    <n v="12.913394489201821"/>
    <n v="28994"/>
  </r>
  <r>
    <s v="2024-12-09"/>
    <x v="3"/>
    <n v="1016"/>
    <n v="67"/>
    <n v="709957"/>
    <x v="110"/>
    <n v="20.774215903216671"/>
    <n v="33284"/>
  </r>
  <r>
    <s v="2024-12-16"/>
    <x v="0"/>
    <n v="4191"/>
    <n v="599"/>
    <n v="713549"/>
    <x v="111"/>
    <n v="11.56416728213479"/>
    <n v="27833"/>
  </r>
  <r>
    <s v="2024-12-16"/>
    <x v="0"/>
    <n v="1392"/>
    <n v="182"/>
    <n v="714759"/>
    <x v="112"/>
    <n v="5.9603306848881932"/>
    <n v="35122"/>
  </r>
  <r>
    <s v="2024-12-16"/>
    <x v="3"/>
    <n v="9616"/>
    <n v="1089"/>
    <n v="723286"/>
    <x v="113"/>
    <n v="19.25863351426683"/>
    <n v="15017"/>
  </r>
  <r>
    <s v="2024-12-16"/>
    <x v="1"/>
    <n v="7272"/>
    <n v="997"/>
    <n v="729561"/>
    <x v="114"/>
    <n v="13.428486445958599"/>
    <n v="26370"/>
  </r>
  <r>
    <s v="2024-12-23"/>
    <x v="3"/>
    <n v="1571"/>
    <n v="204"/>
    <n v="730928"/>
    <x v="115"/>
    <n v="19.449384891535139"/>
    <n v="39252"/>
  </r>
  <r>
    <s v="2024-12-23"/>
    <x v="0"/>
    <n v="4631"/>
    <n v="317"/>
    <n v="735242"/>
    <x v="116"/>
    <n v="1.381177897889402"/>
    <n v="17999"/>
  </r>
  <r>
    <s v="2024-12-23"/>
    <x v="3"/>
    <n v="7172"/>
    <n v="998"/>
    <n v="741416"/>
    <x v="117"/>
    <n v="18.0667803230575"/>
    <n v="32436"/>
  </r>
  <r>
    <s v="2024-12-23"/>
    <x v="2"/>
    <n v="8177"/>
    <n v="849"/>
    <n v="748744"/>
    <x v="118"/>
    <n v="10.34986590877523"/>
    <n v="52963"/>
  </r>
  <r>
    <s v="2024-12-30"/>
    <x v="3"/>
    <n v="9433"/>
    <n v="1233"/>
    <n v="756944"/>
    <x v="119"/>
    <n v="11.391727789638329"/>
    <n v="12096"/>
  </r>
  <r>
    <s v="2024-12-30"/>
    <x v="0"/>
    <n v="4897"/>
    <n v="683"/>
    <n v="761158"/>
    <x v="120"/>
    <n v="15.06231294947961"/>
    <n v="58201"/>
  </r>
  <r>
    <s v="2024-12-30"/>
    <x v="3"/>
    <n v="9123"/>
    <n v="746"/>
    <n v="769535"/>
    <x v="121"/>
    <n v="6.3086149427901264"/>
    <n v="35279"/>
  </r>
  <r>
    <s v="2024-12-30"/>
    <x v="1"/>
    <n v="3279"/>
    <n v="200"/>
    <n v="772614"/>
    <x v="122"/>
    <n v="5.0212654702089274"/>
    <n v="53363"/>
  </r>
  <r>
    <s v="2025-01-06"/>
    <x v="3"/>
    <n v="9980"/>
    <n v="726"/>
    <n v="781868"/>
    <x v="123"/>
    <n v="4.0220344099003924"/>
    <n v="58709"/>
  </r>
  <r>
    <s v="2025-01-06"/>
    <x v="1"/>
    <n v="8451"/>
    <n v="783"/>
    <n v="789536"/>
    <x v="124"/>
    <n v="12.407287318121019"/>
    <n v="36201"/>
  </r>
  <r>
    <s v="2025-01-06"/>
    <x v="2"/>
    <n v="9906"/>
    <n v="1305"/>
    <n v="798137"/>
    <x v="125"/>
    <n v="9.1811305577864442"/>
    <n v="29715"/>
  </r>
  <r>
    <s v="2025-01-06"/>
    <x v="1"/>
    <n v="1775"/>
    <n v="241"/>
    <n v="799671"/>
    <x v="126"/>
    <n v="8.1379717408784362"/>
    <n v="39309"/>
  </r>
  <r>
    <s v="2025-01-13"/>
    <x v="3"/>
    <n v="7869"/>
    <n v="398"/>
    <n v="807142"/>
    <x v="127"/>
    <n v="15.211945357818079"/>
    <n v="25078"/>
  </r>
  <r>
    <s v="2025-01-13"/>
    <x v="0"/>
    <n v="3247"/>
    <n v="328"/>
    <n v="810061"/>
    <x v="128"/>
    <n v="13.941172331466399"/>
    <n v="15105"/>
  </r>
  <r>
    <s v="2025-01-13"/>
    <x v="1"/>
    <n v="8088"/>
    <n v="742"/>
    <n v="817407"/>
    <x v="129"/>
    <n v="14.664542877660701"/>
    <n v="39312"/>
  </r>
  <r>
    <s v="2025-01-13"/>
    <x v="2"/>
    <n v="1078"/>
    <n v="77"/>
    <n v="818408"/>
    <x v="130"/>
    <n v="18.236747441373989"/>
    <n v="12839"/>
  </r>
  <r>
    <s v="2025-01-20"/>
    <x v="1"/>
    <n v="9080"/>
    <n v="562"/>
    <n v="826926"/>
    <x v="131"/>
    <n v="7.1083748727213809"/>
    <n v="13384"/>
  </r>
  <r>
    <s v="2025-01-20"/>
    <x v="1"/>
    <n v="8099"/>
    <n v="678"/>
    <n v="834347"/>
    <x v="132"/>
    <n v="7.6464588474579518"/>
    <n v="53619"/>
  </r>
  <r>
    <s v="2025-01-20"/>
    <x v="1"/>
    <n v="4926"/>
    <n v="710"/>
    <n v="838563"/>
    <x v="133"/>
    <n v="12.96217457722318"/>
    <n v="52821"/>
  </r>
  <r>
    <s v="2025-01-20"/>
    <x v="2"/>
    <n v="8340"/>
    <n v="686"/>
    <n v="846217"/>
    <x v="134"/>
    <n v="7.201344336027284"/>
    <n v="23493"/>
  </r>
  <r>
    <s v="2025-01-27"/>
    <x v="3"/>
    <n v="8083"/>
    <n v="823"/>
    <n v="853477"/>
    <x v="135"/>
    <n v="4.6300017457998282"/>
    <n v="27069"/>
  </r>
  <r>
    <s v="2025-01-27"/>
    <x v="1"/>
    <n v="7230"/>
    <n v="869"/>
    <n v="859838"/>
    <x v="136"/>
    <n v="7.0117859410726204"/>
    <n v="56907"/>
  </r>
  <r>
    <s v="2025-01-27"/>
    <x v="1"/>
    <n v="5940"/>
    <n v="512"/>
    <n v="865266"/>
    <x v="137"/>
    <n v="15.7972230504839"/>
    <n v="17531"/>
  </r>
  <r>
    <s v="2025-01-27"/>
    <x v="0"/>
    <n v="4271"/>
    <n v="628"/>
    <n v="868909"/>
    <x v="138"/>
    <n v="11.124410036033691"/>
    <n v="47051"/>
  </r>
  <r>
    <s v="2025-02-03"/>
    <x v="2"/>
    <n v="4456"/>
    <n v="651"/>
    <n v="872714"/>
    <x v="139"/>
    <n v="9.5052903929580594"/>
    <n v="17736"/>
  </r>
  <r>
    <s v="2025-02-03"/>
    <x v="1"/>
    <n v="8788"/>
    <n v="660"/>
    <n v="880842"/>
    <x v="140"/>
    <n v="3.7175793161543158"/>
    <n v="17710"/>
  </r>
  <r>
    <s v="2025-02-03"/>
    <x v="2"/>
    <n v="9599"/>
    <n v="957"/>
    <n v="889484"/>
    <x v="141"/>
    <n v="8.768004820772493"/>
    <n v="11619"/>
  </r>
  <r>
    <s v="2025-02-03"/>
    <x v="1"/>
    <n v="8650"/>
    <n v="692"/>
    <n v="897442"/>
    <x v="142"/>
    <n v="7.6673478620345374"/>
    <n v="23975"/>
  </r>
  <r>
    <s v="2025-02-10"/>
    <x v="3"/>
    <n v="3711"/>
    <n v="291"/>
    <n v="900862"/>
    <x v="143"/>
    <n v="14.24879726306582"/>
    <n v="55603"/>
  </r>
  <r>
    <s v="2025-02-10"/>
    <x v="3"/>
    <n v="2668"/>
    <n v="143"/>
    <n v="903387"/>
    <x v="144"/>
    <n v="15.903372530266649"/>
    <n v="33252"/>
  </r>
  <r>
    <s v="2025-02-10"/>
    <x v="1"/>
    <n v="1147"/>
    <n v="127"/>
    <n v="904407"/>
    <x v="145"/>
    <n v="1.3997016829812241"/>
    <n v="25261"/>
  </r>
  <r>
    <s v="2025-02-10"/>
    <x v="3"/>
    <n v="7420"/>
    <n v="743"/>
    <n v="911084"/>
    <x v="146"/>
    <n v="10.593534734448189"/>
    <n v="11431"/>
  </r>
  <r>
    <s v="2025-02-17"/>
    <x v="1"/>
    <n v="1365"/>
    <n v="75"/>
    <n v="912374"/>
    <x v="147"/>
    <n v="9.2688963078737441"/>
    <n v="19067"/>
  </r>
  <r>
    <s v="2025-02-17"/>
    <x v="3"/>
    <n v="5531"/>
    <n v="430"/>
    <n v="917475"/>
    <x v="148"/>
    <n v="2.7289026948963189"/>
    <n v="47481"/>
  </r>
  <r>
    <s v="2025-02-17"/>
    <x v="0"/>
    <n v="6330"/>
    <n v="891"/>
    <n v="922914"/>
    <x v="149"/>
    <n v="14.789893749580139"/>
    <n v="37037"/>
  </r>
  <r>
    <s v="2025-02-17"/>
    <x v="0"/>
    <n v="6510"/>
    <n v="481"/>
    <n v="928943"/>
    <x v="150"/>
    <n v="2.3800168578696428"/>
    <n v="19557"/>
  </r>
  <r>
    <s v="2025-02-24"/>
    <x v="0"/>
    <n v="9754"/>
    <n v="629"/>
    <n v="938068"/>
    <x v="151"/>
    <n v="3.4123325814333292"/>
    <n v="19435"/>
  </r>
  <r>
    <s v="2025-02-24"/>
    <x v="2"/>
    <n v="9964"/>
    <n v="985"/>
    <n v="947047"/>
    <x v="152"/>
    <n v="1.9837452629066989"/>
    <n v="47766"/>
  </r>
  <r>
    <s v="2025-02-24"/>
    <x v="2"/>
    <n v="7493"/>
    <n v="1113"/>
    <n v="953427"/>
    <x v="153"/>
    <n v="15.684892498324469"/>
    <n v="10162"/>
  </r>
  <r>
    <s v="2025-02-24"/>
    <x v="0"/>
    <n v="6439"/>
    <n v="477"/>
    <n v="959389"/>
    <x v="154"/>
    <n v="7.4744446725989153"/>
    <n v="44742"/>
  </r>
  <r>
    <s v="2025-03-03"/>
    <x v="2"/>
    <n v="7511"/>
    <n v="880"/>
    <n v="966020"/>
    <x v="155"/>
    <n v="4.6083932009689246"/>
    <n v="29675"/>
  </r>
  <r>
    <s v="2025-03-03"/>
    <x v="3"/>
    <n v="8504"/>
    <n v="1072"/>
    <n v="973452"/>
    <x v="1"/>
    <n v="6.5651927367759271"/>
    <n v="18461"/>
  </r>
  <r>
    <s v="2025-03-03"/>
    <x v="1"/>
    <n v="2246"/>
    <n v="165"/>
    <n v="975533"/>
    <x v="156"/>
    <n v="2.9062061457685191"/>
    <n v="27015"/>
  </r>
  <r>
    <s v="2025-03-03"/>
    <x v="1"/>
    <n v="4839"/>
    <n v="594"/>
    <n v="979778"/>
    <x v="157"/>
    <n v="2.5803804535313102"/>
    <n v="42591"/>
  </r>
  <r>
    <s v="2025-03-10"/>
    <x v="1"/>
    <n v="9551"/>
    <n v="828"/>
    <n v="988501"/>
    <x v="158"/>
    <n v="1.525036393488727"/>
    <n v="38047"/>
  </r>
  <r>
    <s v="2025-03-10"/>
    <x v="0"/>
    <n v="3376"/>
    <n v="382"/>
    <n v="991495"/>
    <x v="159"/>
    <n v="3.8694093263203548"/>
    <n v="44782"/>
  </r>
  <r>
    <s v="2025-03-10"/>
    <x v="2"/>
    <n v="4009"/>
    <n v="454"/>
    <n v="995050"/>
    <x v="160"/>
    <n v="2.1106477061454201"/>
    <n v="19833"/>
  </r>
  <r>
    <s v="2025-03-10"/>
    <x v="3"/>
    <n v="2827"/>
    <n v="292"/>
    <n v="997585"/>
    <x v="161"/>
    <n v="2.4004972007397871"/>
    <n v="17896"/>
  </r>
  <r>
    <s v="2025-03-17"/>
    <x v="3"/>
    <n v="7979"/>
    <n v="470"/>
    <n v="1005094"/>
    <x v="162"/>
    <n v="10.43086517280971"/>
    <n v="42972"/>
  </r>
  <r>
    <s v="2025-03-17"/>
    <x v="0"/>
    <n v="9569"/>
    <n v="1277"/>
    <n v="1013386"/>
    <x v="163"/>
    <n v="12.45517502708741"/>
    <n v="59733"/>
  </r>
  <r>
    <s v="2025-03-17"/>
    <x v="3"/>
    <n v="5285"/>
    <n v="433"/>
    <n v="1018238"/>
    <x v="164"/>
    <n v="8.7022876773406619"/>
    <n v="51800"/>
  </r>
  <r>
    <s v="2025-03-17"/>
    <x v="3"/>
    <n v="7910"/>
    <n v="543"/>
    <n v="1025605"/>
    <x v="165"/>
    <n v="6.0590578244060822"/>
    <n v="40508"/>
  </r>
  <r>
    <s v="2025-03-24"/>
    <x v="3"/>
    <n v="9561"/>
    <n v="517"/>
    <n v="1034649"/>
    <x v="166"/>
    <n v="6.4086467971263694"/>
    <n v="15347"/>
  </r>
  <r>
    <s v="2025-03-24"/>
    <x v="3"/>
    <n v="3196"/>
    <n v="348"/>
    <n v="1037497"/>
    <x v="167"/>
    <n v="14.03040201562029"/>
    <n v="40314"/>
  </r>
  <r>
    <s v="2025-03-24"/>
    <x v="2"/>
    <n v="4747"/>
    <n v="558"/>
    <n v="1041686"/>
    <x v="168"/>
    <n v="5.7680529449373434"/>
    <n v="12643"/>
  </r>
  <r>
    <s v="2025-03-24"/>
    <x v="3"/>
    <n v="9843"/>
    <n v="508"/>
    <n v="1051021"/>
    <x v="169"/>
    <n v="4.2080986012648651"/>
    <n v="50785"/>
  </r>
  <r>
    <s v="2025-03-31"/>
    <x v="1"/>
    <n v="6978"/>
    <n v="706"/>
    <n v="1057293"/>
    <x v="170"/>
    <n v="5.057443868445171"/>
    <n v="28681"/>
  </r>
  <r>
    <s v="2025-03-31"/>
    <x v="0"/>
    <n v="6607"/>
    <n v="479"/>
    <n v="1063421"/>
    <x v="171"/>
    <n v="5.5892257158735816"/>
    <n v="48328"/>
  </r>
  <r>
    <s v="2025-03-31"/>
    <x v="2"/>
    <n v="1769"/>
    <n v="202"/>
    <n v="1064988"/>
    <x v="172"/>
    <n v="6.5457075572682513"/>
    <n v="25892"/>
  </r>
  <r>
    <s v="2025-03-31"/>
    <x v="3"/>
    <n v="1780"/>
    <n v="120"/>
    <n v="1066648"/>
    <x v="173"/>
    <n v="13.86474263299608"/>
    <n v="57299"/>
  </r>
  <r>
    <s v="2025-04-07"/>
    <x v="2"/>
    <n v="7303"/>
    <n v="869"/>
    <n v="1073082"/>
    <x v="174"/>
    <n v="8.1237966902808925"/>
    <n v="27073"/>
  </r>
  <r>
    <s v="2025-04-07"/>
    <x v="3"/>
    <n v="4983"/>
    <n v="441"/>
    <n v="1077624"/>
    <x v="175"/>
    <n v="6.8954477628560609"/>
    <n v="46768"/>
  </r>
  <r>
    <s v="2025-04-07"/>
    <x v="1"/>
    <n v="9714"/>
    <n v="1395"/>
    <n v="1085943"/>
    <x v="176"/>
    <n v="5.2243073531483697"/>
    <n v="40682"/>
  </r>
  <r>
    <s v="2025-04-07"/>
    <x v="0"/>
    <n v="1521"/>
    <n v="96"/>
    <n v="1087368"/>
    <x v="177"/>
    <n v="12.709772588488899"/>
    <n v="42262"/>
  </r>
  <r>
    <s v="2025-04-14"/>
    <x v="3"/>
    <n v="8569"/>
    <n v="720"/>
    <n v="1095217"/>
    <x v="178"/>
    <n v="9.589697749395782"/>
    <n v="41358"/>
  </r>
  <r>
    <s v="2025-04-14"/>
    <x v="3"/>
    <n v="6784"/>
    <n v="416"/>
    <n v="1101585"/>
    <x v="179"/>
    <n v="9.3041390360253633"/>
    <n v="24289"/>
  </r>
  <r>
    <s v="2025-04-14"/>
    <x v="3"/>
    <n v="5583"/>
    <n v="795"/>
    <n v="1106373"/>
    <x v="180"/>
    <n v="12.21550055903389"/>
    <n v="59823"/>
  </r>
  <r>
    <s v="2025-04-14"/>
    <x v="3"/>
    <n v="6946"/>
    <n v="956"/>
    <n v="1112363"/>
    <x v="181"/>
    <n v="1.64146056637986"/>
    <n v="17927"/>
  </r>
  <r>
    <s v="2025-04-21"/>
    <x v="0"/>
    <n v="5941"/>
    <n v="450"/>
    <n v="1117854"/>
    <x v="182"/>
    <n v="12.414411899944"/>
    <n v="58330"/>
  </r>
  <r>
    <s v="2025-04-21"/>
    <x v="0"/>
    <n v="7267"/>
    <n v="842"/>
    <n v="1124279"/>
    <x v="183"/>
    <n v="2.2102165031989389"/>
    <n v="11171"/>
  </r>
  <r>
    <s v="2025-04-21"/>
    <x v="1"/>
    <n v="8128"/>
    <n v="1070"/>
    <n v="1131337"/>
    <x v="184"/>
    <n v="8.1114645768679008"/>
    <n v="21918"/>
  </r>
  <r>
    <s v="2025-04-21"/>
    <x v="0"/>
    <n v="3461"/>
    <n v="365"/>
    <n v="1134433"/>
    <x v="185"/>
    <n v="10.23489267325616"/>
    <n v="51903"/>
  </r>
  <r>
    <s v="2025-04-28"/>
    <x v="3"/>
    <n v="1685"/>
    <n v="173"/>
    <n v="1135945"/>
    <x v="186"/>
    <n v="8.7776256772995165"/>
    <n v="49110"/>
  </r>
  <r>
    <s v="2025-04-28"/>
    <x v="1"/>
    <n v="3160"/>
    <n v="234"/>
    <n v="1138871"/>
    <x v="187"/>
    <n v="5.6959041015180816"/>
    <n v="21929"/>
  </r>
  <r>
    <s v="2025-04-28"/>
    <x v="1"/>
    <n v="8031"/>
    <n v="476"/>
    <n v="1146426"/>
    <x v="188"/>
    <n v="11.940413075069831"/>
    <n v="12539"/>
  </r>
  <r>
    <s v="2025-04-28"/>
    <x v="1"/>
    <n v="6341"/>
    <n v="885"/>
    <n v="1151882"/>
    <x v="189"/>
    <n v="6.3457020771224837"/>
    <n v="46727"/>
  </r>
  <r>
    <s v="2025-05-05"/>
    <x v="3"/>
    <n v="1038"/>
    <n v="145"/>
    <n v="1152775"/>
    <x v="190"/>
    <n v="11.093752033137431"/>
    <n v="55951"/>
  </r>
  <r>
    <s v="2025-05-05"/>
    <x v="2"/>
    <n v="5875"/>
    <n v="665"/>
    <n v="1157985"/>
    <x v="191"/>
    <n v="6.9871371390821126"/>
    <n v="32669"/>
  </r>
  <r>
    <s v="2025-05-05"/>
    <x v="3"/>
    <n v="2256"/>
    <n v="189"/>
    <n v="1160052"/>
    <x v="192"/>
    <n v="2.8935771844710412"/>
    <n v="15432"/>
  </r>
  <r>
    <s v="2025-05-05"/>
    <x v="0"/>
    <n v="8697"/>
    <n v="738"/>
    <n v="1168011"/>
    <x v="193"/>
    <n v="3.8777032065622672"/>
    <n v="30644"/>
  </r>
  <r>
    <s v="2025-05-12"/>
    <x v="0"/>
    <n v="3196"/>
    <n v="391"/>
    <n v="1170816"/>
    <x v="194"/>
    <n v="7.2439221876024931"/>
    <n v="28745"/>
  </r>
  <r>
    <s v="2025-05-12"/>
    <x v="3"/>
    <n v="8165"/>
    <n v="1140"/>
    <n v="1177841"/>
    <x v="195"/>
    <n v="9.095964565675672"/>
    <n v="38228"/>
  </r>
  <r>
    <s v="2025-05-12"/>
    <x v="3"/>
    <n v="1301"/>
    <n v="180"/>
    <n v="1178962"/>
    <x v="196"/>
    <n v="5.2275645864752214"/>
    <n v="44521"/>
  </r>
  <r>
    <s v="2025-05-12"/>
    <x v="1"/>
    <n v="8527"/>
    <n v="1091"/>
    <n v="1186398"/>
    <x v="197"/>
    <n v="1.676081719625286"/>
    <n v="41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9BD75-D0F8-4CDA-BC8F-391462BE2F2E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3:B8" firstHeaderRow="1" firstDataRow="1" firstDataCol="1"/>
  <pivotFields count="8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Engagement_Rate" fld="6" subtotal="average" baseField="1" baseItem="0"/>
  </dataFields>
  <formats count="10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field="1" type="button" dataOnly="0" labelOnly="1" outline="0" axis="axisRow" fieldPosition="0"/>
    </format>
    <format dxfId="29">
      <pivotArea dataOnly="0" labelOnly="1" outline="0" axis="axisValues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67BF5-3FDB-4E03-BF4F-52A3EACAADC0}" name="PivotTable18" cacheId="3" applyNumberFormats="0" applyBorderFormats="0" applyFontFormats="0" applyPatternFormats="0" applyAlignmentFormats="0" applyWidthHeightFormats="1" dataCaption="Values" tag="4380f435-3dbb-44fc-a945-148fbeef38a0" updatedVersion="8" minRefreshableVersion="3" useAutoFormatting="1" itemPrintTitles="1" createdVersion="8" indent="0" outline="1" outlineData="1" multipleFieldFilters="0" rowHeaderCaption="Platform">
  <location ref="A3:D8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w_Followers" fld="0" baseField="0" baseItem="0"/>
    <dataField name="Sum of Total_Followers" fld="1" baseField="0" baseItem="0"/>
    <dataField name="Average of growth rate2" fld="3" subtotal="average" baseField="2" baseItem="0"/>
  </dataFields>
  <formats count="10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">
      <pivotArea field="2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grandRow="1" outline="0" collapsedLevelsAreSubtotals="1" fieldPosition="0"/>
    </format>
    <format dxfId="17">
      <pivotArea dataOnly="0" labelOnly="1" grandRow="1" outline="0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growth rate2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gagement Summary (3.2)!$A$1:$I$2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5936B-E4C4-4433-A849-69BACA45BC76}" name="PivotTable1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7" rowHeaderCaption="platform">
  <location ref="A3:C7" firstHeaderRow="0" firstDataRow="1" firstDataCol="1"/>
  <pivotFields count="8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Engagement_Rate" fld="6" subtotal="average" baseField="1" baseItem="0"/>
    <dataField name="Sum of Ad_Spend" fld="7" baseField="0" baseItem="0"/>
  </dataFields>
  <formats count="7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EE742-ED1F-40BE-85C0-712BF151250D}" name="PivotTable21" cacheId="4" applyNumberFormats="0" applyBorderFormats="0" applyFontFormats="0" applyPatternFormats="0" applyAlignmentFormats="0" applyWidthHeightFormats="1" dataCaption="Values" tag="f6b5213c-8f11-4435-81f4-0bc42c20fc6a" updatedVersion="8" minRefreshableVersion="3" useAutoFormatting="1" itemPrintTitles="1" createdVersion="8" indent="0" outline="1" outlineData="1" multipleFieldFilters="0" rowHeaderCaption="Platfrom">
  <location ref="A3:D8" firstHeaderRow="0" firstDataRow="1" firstDataCol="1"/>
  <pivotFields count="4">
    <pivotField dataField="1" subtotalTop="0" showAll="0" defaultSubtotal="0"/>
    <pivotField axis="axisRow" allDrilled="1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rowth rate" fld="0" subtotal="average" baseField="0" baseItem="0"/>
    <dataField name="Sum of Ad_Spend" fld="3" baseField="0" baseItem="0"/>
    <dataField name="Average of Engagement_Rate" fld="2" subtotal="average" baseField="1" baseItem="0"/>
  </dataFields>
  <formats count="10">
    <format dxfId="9">
      <pivotArea field="1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Engagement_Rat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gagement Summary (3.2)!$A$1:$I$2011">
        <x15:activeTabTopLevelEntity name="[Rang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352C-C1AA-4C8A-ADFD-611D92A5672C}">
  <dimension ref="A1:O1000"/>
  <sheetViews>
    <sheetView tabSelected="1" topLeftCell="J1" zoomScale="75" workbookViewId="0">
      <selection activeCell="L3" sqref="L3:O3"/>
    </sheetView>
  </sheetViews>
  <sheetFormatPr defaultColWidth="14.453125" defaultRowHeight="15" customHeight="1" x14ac:dyDescent="0.35"/>
  <cols>
    <col min="1" max="1" width="30.26953125" customWidth="1"/>
    <col min="2" max="2" width="11.08984375" customWidth="1"/>
    <col min="3" max="3" width="15.81640625" customWidth="1"/>
    <col min="4" max="4" width="13.453125" customWidth="1"/>
    <col min="5" max="7" width="21.08984375" customWidth="1"/>
    <col min="8" max="8" width="16.08984375" bestFit="1" customWidth="1"/>
    <col min="9" max="11" width="8.7265625" customWidth="1"/>
    <col min="12" max="12" width="7" customWidth="1"/>
    <col min="13" max="13" width="30.7265625" customWidth="1"/>
    <col min="14" max="14" width="118.26953125" customWidth="1"/>
    <col min="15" max="15" width="39.08984375" customWidth="1"/>
    <col min="16" max="28" width="8.7265625" customWidth="1"/>
  </cols>
  <sheetData>
    <row r="1" spans="1:15" ht="14.25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15" ht="14.25" customHeight="1" x14ac:dyDescent="0.35">
      <c r="A2" s="1" t="s">
        <v>9</v>
      </c>
      <c r="B2" s="2" t="s">
        <v>10</v>
      </c>
      <c r="C2" s="2">
        <v>4138</v>
      </c>
      <c r="D2" s="2">
        <v>361</v>
      </c>
      <c r="E2" s="2">
        <v>103777</v>
      </c>
      <c r="F2" s="2">
        <f>C2-D2</f>
        <v>3777</v>
      </c>
      <c r="G2" s="3">
        <f>(F2/E2)*100</f>
        <v>3.6395347716738775</v>
      </c>
      <c r="H2" s="2">
        <v>56.637790647253247</v>
      </c>
      <c r="I2" s="2">
        <v>23944</v>
      </c>
    </row>
    <row r="3" spans="1:15" ht="14.25" customHeight="1" x14ac:dyDescent="0.35">
      <c r="A3" s="1" t="s">
        <v>9</v>
      </c>
      <c r="B3" s="2" t="s">
        <v>11</v>
      </c>
      <c r="C3" s="2">
        <v>8693</v>
      </c>
      <c r="D3" s="2">
        <v>1261</v>
      </c>
      <c r="E3" s="2">
        <v>111209</v>
      </c>
      <c r="F3" s="2">
        <f t="shared" ref="F3:F66" si="0">C3-D3</f>
        <v>7432</v>
      </c>
      <c r="G3" s="3">
        <f t="shared" ref="G3:G66" si="1">(F3/E3)*100</f>
        <v>6.6829123542159365</v>
      </c>
      <c r="H3" s="2">
        <v>69.475492091467416</v>
      </c>
      <c r="I3" s="2">
        <v>29873</v>
      </c>
      <c r="L3" s="25" t="s">
        <v>99</v>
      </c>
      <c r="M3" s="25"/>
      <c r="N3" s="25"/>
      <c r="O3" s="25"/>
    </row>
    <row r="4" spans="1:15" ht="14.25" customHeight="1" x14ac:dyDescent="0.35">
      <c r="A4" s="1" t="s">
        <v>9</v>
      </c>
      <c r="B4" s="2" t="s">
        <v>12</v>
      </c>
      <c r="C4" s="2">
        <v>9264</v>
      </c>
      <c r="D4" s="2">
        <v>1141</v>
      </c>
      <c r="E4" s="2">
        <v>119332</v>
      </c>
      <c r="F4" s="2">
        <f t="shared" si="0"/>
        <v>8123</v>
      </c>
      <c r="G4" s="3">
        <f t="shared" si="1"/>
        <v>6.8070592967519188</v>
      </c>
      <c r="H4" s="2">
        <v>92.312204605638044</v>
      </c>
      <c r="I4" s="2">
        <v>50372</v>
      </c>
      <c r="L4" s="16" t="s">
        <v>98</v>
      </c>
      <c r="M4" s="12" t="s">
        <v>13</v>
      </c>
      <c r="N4" s="12" t="s">
        <v>14</v>
      </c>
      <c r="O4" s="12" t="s">
        <v>15</v>
      </c>
    </row>
    <row r="5" spans="1:15" ht="14.25" customHeight="1" x14ac:dyDescent="0.35">
      <c r="A5" s="1" t="s">
        <v>9</v>
      </c>
      <c r="B5" s="2" t="s">
        <v>12</v>
      </c>
      <c r="C5" s="2">
        <v>8842</v>
      </c>
      <c r="D5" s="2">
        <v>971</v>
      </c>
      <c r="E5" s="2">
        <v>127203</v>
      </c>
      <c r="F5" s="2">
        <f t="shared" si="0"/>
        <v>7871</v>
      </c>
      <c r="G5" s="3">
        <f t="shared" si="1"/>
        <v>6.1877471443283572</v>
      </c>
      <c r="H5" s="2">
        <v>16.351815601833291</v>
      </c>
      <c r="I5" s="2">
        <v>33928</v>
      </c>
      <c r="L5" s="19" t="s">
        <v>16</v>
      </c>
      <c r="M5" s="20" t="s">
        <v>17</v>
      </c>
      <c r="N5" s="20" t="s">
        <v>97</v>
      </c>
      <c r="O5" s="5" t="s">
        <v>18</v>
      </c>
    </row>
    <row r="6" spans="1:15" ht="14.25" customHeight="1" x14ac:dyDescent="0.35">
      <c r="A6" s="1" t="s">
        <v>19</v>
      </c>
      <c r="B6" s="2" t="s">
        <v>10</v>
      </c>
      <c r="C6" s="2">
        <v>7721</v>
      </c>
      <c r="D6" s="2">
        <v>506</v>
      </c>
      <c r="E6" s="2">
        <v>134418</v>
      </c>
      <c r="F6" s="2">
        <f t="shared" si="0"/>
        <v>7215</v>
      </c>
      <c r="G6" s="3">
        <f t="shared" si="1"/>
        <v>5.3675846984778826</v>
      </c>
      <c r="H6" s="2">
        <v>35.577824398518047</v>
      </c>
      <c r="I6" s="2">
        <v>25379</v>
      </c>
      <c r="L6" s="19"/>
      <c r="M6" s="20"/>
      <c r="N6" s="20"/>
      <c r="O6" s="17" t="s">
        <v>20</v>
      </c>
    </row>
    <row r="7" spans="1:15" ht="14.25" customHeight="1" x14ac:dyDescent="0.35">
      <c r="A7" s="1" t="s">
        <v>19</v>
      </c>
      <c r="B7" s="2" t="s">
        <v>12</v>
      </c>
      <c r="C7" s="2">
        <v>8002</v>
      </c>
      <c r="D7" s="2">
        <v>524</v>
      </c>
      <c r="E7" s="2">
        <v>141896</v>
      </c>
      <c r="F7" s="2">
        <f t="shared" si="0"/>
        <v>7478</v>
      </c>
      <c r="G7" s="3">
        <f t="shared" si="1"/>
        <v>5.270056943113266</v>
      </c>
      <c r="H7" s="2">
        <v>52.064892597395271</v>
      </c>
      <c r="I7" s="2">
        <v>46751</v>
      </c>
      <c r="L7" s="19" t="s">
        <v>21</v>
      </c>
      <c r="M7" s="20" t="s">
        <v>22</v>
      </c>
      <c r="N7" s="6" t="s">
        <v>94</v>
      </c>
      <c r="O7" s="18" t="s">
        <v>23</v>
      </c>
    </row>
    <row r="8" spans="1:15" ht="14.25" customHeight="1" x14ac:dyDescent="0.35">
      <c r="A8" s="1" t="s">
        <v>19</v>
      </c>
      <c r="B8" s="2" t="s">
        <v>11</v>
      </c>
      <c r="C8" s="2">
        <v>5225</v>
      </c>
      <c r="D8" s="2">
        <v>291</v>
      </c>
      <c r="E8" s="2">
        <v>146830</v>
      </c>
      <c r="F8" s="2">
        <f t="shared" si="0"/>
        <v>4934</v>
      </c>
      <c r="G8" s="3">
        <f t="shared" si="1"/>
        <v>3.3603487025812164</v>
      </c>
      <c r="H8" s="2">
        <v>19.551862698358651</v>
      </c>
      <c r="I8" s="2">
        <v>44546</v>
      </c>
      <c r="L8" s="19"/>
      <c r="M8" s="20"/>
      <c r="N8" s="7" t="s">
        <v>24</v>
      </c>
      <c r="O8" s="18"/>
    </row>
    <row r="9" spans="1:15" ht="14.25" customHeight="1" x14ac:dyDescent="0.35">
      <c r="A9" s="1" t="s">
        <v>19</v>
      </c>
      <c r="B9" s="2" t="s">
        <v>11</v>
      </c>
      <c r="C9" s="2">
        <v>3978</v>
      </c>
      <c r="D9" s="2">
        <v>543</v>
      </c>
      <c r="E9" s="2">
        <v>150265</v>
      </c>
      <c r="F9" s="2">
        <f t="shared" si="0"/>
        <v>3435</v>
      </c>
      <c r="G9" s="3">
        <f t="shared" si="1"/>
        <v>2.2859614680730709</v>
      </c>
      <c r="H9" s="2">
        <v>49.159817655475329</v>
      </c>
      <c r="I9" s="2">
        <v>34286</v>
      </c>
      <c r="L9" s="21" t="s">
        <v>25</v>
      </c>
      <c r="M9" s="22" t="s">
        <v>26</v>
      </c>
      <c r="N9" s="23" t="s">
        <v>95</v>
      </c>
      <c r="O9" s="18" t="s">
        <v>27</v>
      </c>
    </row>
    <row r="10" spans="1:15" ht="14.25" customHeight="1" x14ac:dyDescent="0.35">
      <c r="A10" s="1" t="s">
        <v>28</v>
      </c>
      <c r="B10" s="2" t="s">
        <v>10</v>
      </c>
      <c r="C10" s="2">
        <v>8373</v>
      </c>
      <c r="D10" s="2">
        <v>921</v>
      </c>
      <c r="E10" s="2">
        <v>157717</v>
      </c>
      <c r="F10" s="2">
        <f t="shared" si="0"/>
        <v>7452</v>
      </c>
      <c r="G10" s="3">
        <f t="shared" si="1"/>
        <v>4.7249186834646864</v>
      </c>
      <c r="H10" s="2">
        <v>12.2263294381709</v>
      </c>
      <c r="I10" s="2">
        <v>15110</v>
      </c>
      <c r="L10" s="21"/>
      <c r="M10" s="22"/>
      <c r="N10" s="23"/>
      <c r="O10" s="18"/>
    </row>
    <row r="11" spans="1:15" ht="14.25" customHeight="1" x14ac:dyDescent="0.35">
      <c r="A11" s="1" t="s">
        <v>28</v>
      </c>
      <c r="B11" s="2" t="s">
        <v>11</v>
      </c>
      <c r="C11" s="2">
        <v>6907</v>
      </c>
      <c r="D11" s="2">
        <v>834</v>
      </c>
      <c r="E11" s="2">
        <v>163790</v>
      </c>
      <c r="F11" s="2">
        <f t="shared" si="0"/>
        <v>6073</v>
      </c>
      <c r="G11" s="3">
        <f t="shared" si="1"/>
        <v>3.7077965687770926</v>
      </c>
      <c r="H11" s="2">
        <v>54.158984064961238</v>
      </c>
      <c r="I11" s="2">
        <v>22087</v>
      </c>
      <c r="L11" s="21" t="s">
        <v>29</v>
      </c>
      <c r="M11" s="20" t="s">
        <v>30</v>
      </c>
      <c r="N11" s="20" t="s">
        <v>96</v>
      </c>
      <c r="O11" s="24" t="s">
        <v>31</v>
      </c>
    </row>
    <row r="12" spans="1:15" ht="14.25" customHeight="1" x14ac:dyDescent="0.35">
      <c r="A12" s="1" t="s">
        <v>28</v>
      </c>
      <c r="B12" s="2" t="s">
        <v>32</v>
      </c>
      <c r="C12" s="2">
        <v>7097</v>
      </c>
      <c r="D12" s="2">
        <v>369</v>
      </c>
      <c r="E12" s="2">
        <v>170518</v>
      </c>
      <c r="F12" s="2">
        <f t="shared" si="0"/>
        <v>6728</v>
      </c>
      <c r="G12" s="3">
        <f t="shared" si="1"/>
        <v>3.9456245088495061</v>
      </c>
      <c r="H12" s="2">
        <v>9.2506362964613711</v>
      </c>
      <c r="I12" s="2">
        <v>33762</v>
      </c>
      <c r="L12" s="21"/>
      <c r="M12" s="20"/>
      <c r="N12" s="20"/>
      <c r="O12" s="24"/>
    </row>
    <row r="13" spans="1:15" ht="14.25" customHeight="1" x14ac:dyDescent="0.35">
      <c r="A13" s="1" t="s">
        <v>28</v>
      </c>
      <c r="B13" s="2" t="s">
        <v>10</v>
      </c>
      <c r="C13" s="2">
        <v>6656</v>
      </c>
      <c r="D13" s="2">
        <v>978</v>
      </c>
      <c r="E13" s="2">
        <v>176196</v>
      </c>
      <c r="F13" s="2">
        <f t="shared" si="0"/>
        <v>5678</v>
      </c>
      <c r="G13" s="3">
        <f t="shared" si="1"/>
        <v>3.2225476174260486</v>
      </c>
      <c r="H13" s="2">
        <v>60.425889350496043</v>
      </c>
      <c r="I13" s="2">
        <v>27081</v>
      </c>
      <c r="L13" s="21"/>
      <c r="M13" s="20"/>
      <c r="N13" s="20"/>
      <c r="O13" s="17" t="s">
        <v>33</v>
      </c>
    </row>
    <row r="14" spans="1:15" ht="14.25" customHeight="1" x14ac:dyDescent="0.35">
      <c r="A14" s="1" t="s">
        <v>34</v>
      </c>
      <c r="B14" s="2" t="s">
        <v>11</v>
      </c>
      <c r="C14" s="2">
        <v>9984</v>
      </c>
      <c r="D14" s="2">
        <v>1330</v>
      </c>
      <c r="E14" s="2">
        <v>184850</v>
      </c>
      <c r="F14" s="2">
        <f t="shared" si="0"/>
        <v>8654</v>
      </c>
      <c r="G14" s="3">
        <f t="shared" si="1"/>
        <v>4.6816337571003519</v>
      </c>
      <c r="H14" s="2">
        <v>57.524479307546663</v>
      </c>
      <c r="I14" s="2">
        <v>44947</v>
      </c>
    </row>
    <row r="15" spans="1:15" ht="14.25" customHeight="1" x14ac:dyDescent="0.35">
      <c r="A15" s="1" t="s">
        <v>34</v>
      </c>
      <c r="B15" s="2" t="s">
        <v>10</v>
      </c>
      <c r="C15" s="2">
        <v>5259</v>
      </c>
      <c r="D15" s="2">
        <v>374</v>
      </c>
      <c r="E15" s="2">
        <v>189735</v>
      </c>
      <c r="F15" s="2">
        <f t="shared" si="0"/>
        <v>4885</v>
      </c>
      <c r="G15" s="3">
        <f t="shared" si="1"/>
        <v>2.5746435818378268</v>
      </c>
      <c r="H15" s="2">
        <v>14.827522597306769</v>
      </c>
      <c r="I15" s="2">
        <v>19596</v>
      </c>
    </row>
    <row r="16" spans="1:15" ht="14.25" customHeight="1" x14ac:dyDescent="0.35">
      <c r="A16" s="1" t="s">
        <v>34</v>
      </c>
      <c r="B16" s="2" t="s">
        <v>12</v>
      </c>
      <c r="C16" s="2">
        <v>9286</v>
      </c>
      <c r="D16" s="2">
        <v>633</v>
      </c>
      <c r="E16" s="2">
        <v>198388</v>
      </c>
      <c r="F16" s="2">
        <f t="shared" si="0"/>
        <v>8653</v>
      </c>
      <c r="G16" s="3">
        <f t="shared" si="1"/>
        <v>4.3616549388067822</v>
      </c>
      <c r="H16" s="2">
        <v>5.4343004617214756</v>
      </c>
      <c r="I16" s="2">
        <v>48019</v>
      </c>
    </row>
    <row r="17" spans="1:9" ht="14.25" customHeight="1" x14ac:dyDescent="0.35">
      <c r="A17" s="1" t="s">
        <v>34</v>
      </c>
      <c r="B17" s="2" t="s">
        <v>11</v>
      </c>
      <c r="C17" s="2">
        <v>6901</v>
      </c>
      <c r="D17" s="2">
        <v>471</v>
      </c>
      <c r="E17" s="2">
        <v>204818</v>
      </c>
      <c r="F17" s="2">
        <f t="shared" si="0"/>
        <v>6430</v>
      </c>
      <c r="G17" s="3">
        <f t="shared" si="1"/>
        <v>3.1393725160874535</v>
      </c>
      <c r="H17" s="2">
        <v>60.827661631301943</v>
      </c>
      <c r="I17" s="2">
        <v>52003</v>
      </c>
    </row>
    <row r="18" spans="1:9" ht="14.25" customHeight="1" x14ac:dyDescent="0.35">
      <c r="A18" s="1" t="s">
        <v>35</v>
      </c>
      <c r="B18" s="2" t="s">
        <v>32</v>
      </c>
      <c r="C18" s="2">
        <v>5917</v>
      </c>
      <c r="D18" s="2">
        <v>475</v>
      </c>
      <c r="E18" s="2">
        <v>210260</v>
      </c>
      <c r="F18" s="2">
        <f t="shared" si="0"/>
        <v>5442</v>
      </c>
      <c r="G18" s="3">
        <f t="shared" si="1"/>
        <v>2.5882241034909157</v>
      </c>
      <c r="H18" s="2">
        <v>17.894035955483691</v>
      </c>
      <c r="I18" s="2">
        <v>28313</v>
      </c>
    </row>
    <row r="19" spans="1:9" ht="14.25" customHeight="1" x14ac:dyDescent="0.35">
      <c r="A19" s="1" t="s">
        <v>35</v>
      </c>
      <c r="B19" s="2" t="s">
        <v>11</v>
      </c>
      <c r="C19" s="2">
        <v>9429</v>
      </c>
      <c r="D19" s="2">
        <v>966</v>
      </c>
      <c r="E19" s="2">
        <v>218723</v>
      </c>
      <c r="F19" s="2">
        <f t="shared" si="0"/>
        <v>8463</v>
      </c>
      <c r="G19" s="3">
        <f t="shared" si="1"/>
        <v>3.8692775794040868</v>
      </c>
      <c r="H19" s="2">
        <v>7.6914636320825887</v>
      </c>
      <c r="I19" s="2">
        <v>57639</v>
      </c>
    </row>
    <row r="20" spans="1:9" ht="14.25" customHeight="1" x14ac:dyDescent="0.35">
      <c r="A20" s="1" t="s">
        <v>35</v>
      </c>
      <c r="B20" s="2" t="s">
        <v>10</v>
      </c>
      <c r="C20" s="2">
        <v>3530</v>
      </c>
      <c r="D20" s="2">
        <v>328</v>
      </c>
      <c r="E20" s="2">
        <v>221925</v>
      </c>
      <c r="F20" s="2">
        <f t="shared" si="0"/>
        <v>3202</v>
      </c>
      <c r="G20" s="3">
        <f t="shared" si="1"/>
        <v>1.4428297848372198</v>
      </c>
      <c r="H20" s="2">
        <v>12.8372197814577</v>
      </c>
      <c r="I20" s="2">
        <v>11013</v>
      </c>
    </row>
    <row r="21" spans="1:9" ht="14.25" customHeight="1" x14ac:dyDescent="0.35">
      <c r="A21" s="1" t="s">
        <v>35</v>
      </c>
      <c r="B21" s="2" t="s">
        <v>10</v>
      </c>
      <c r="C21" s="2">
        <v>2960</v>
      </c>
      <c r="D21" s="2">
        <v>234</v>
      </c>
      <c r="E21" s="2">
        <v>224651</v>
      </c>
      <c r="F21" s="2">
        <f t="shared" si="0"/>
        <v>2726</v>
      </c>
      <c r="G21" s="3">
        <f t="shared" si="1"/>
        <v>1.2134377323047749</v>
      </c>
      <c r="H21" s="2">
        <v>17.41278694508371</v>
      </c>
      <c r="I21" s="2">
        <v>59378</v>
      </c>
    </row>
    <row r="22" spans="1:9" ht="14.25" customHeight="1" x14ac:dyDescent="0.35">
      <c r="A22" s="1" t="s">
        <v>36</v>
      </c>
      <c r="B22" s="2" t="s">
        <v>11</v>
      </c>
      <c r="C22" s="2">
        <v>8045</v>
      </c>
      <c r="D22" s="2">
        <v>894</v>
      </c>
      <c r="E22" s="2">
        <v>231802</v>
      </c>
      <c r="F22" s="2">
        <f t="shared" si="0"/>
        <v>7151</v>
      </c>
      <c r="G22" s="3">
        <f t="shared" si="1"/>
        <v>3.0849604403758382</v>
      </c>
      <c r="H22" s="2">
        <v>47.634187798207087</v>
      </c>
      <c r="I22" s="2">
        <v>33705</v>
      </c>
    </row>
    <row r="23" spans="1:9" ht="14.25" customHeight="1" x14ac:dyDescent="0.35">
      <c r="A23" s="1" t="s">
        <v>36</v>
      </c>
      <c r="B23" s="2" t="s">
        <v>32</v>
      </c>
      <c r="C23" s="2">
        <v>2048</v>
      </c>
      <c r="D23" s="2">
        <v>130</v>
      </c>
      <c r="E23" s="2">
        <v>233720</v>
      </c>
      <c r="F23" s="2">
        <f t="shared" si="0"/>
        <v>1918</v>
      </c>
      <c r="G23" s="3">
        <f t="shared" si="1"/>
        <v>0.82064008214958062</v>
      </c>
      <c r="H23" s="2">
        <v>39.284614068115687</v>
      </c>
      <c r="I23" s="2">
        <v>11828</v>
      </c>
    </row>
    <row r="24" spans="1:9" ht="14.25" customHeight="1" x14ac:dyDescent="0.35">
      <c r="A24" s="1" t="s">
        <v>36</v>
      </c>
      <c r="B24" s="2" t="s">
        <v>32</v>
      </c>
      <c r="C24" s="2">
        <v>6772</v>
      </c>
      <c r="D24" s="2">
        <v>536</v>
      </c>
      <c r="E24" s="2">
        <v>239956</v>
      </c>
      <c r="F24" s="2">
        <f t="shared" si="0"/>
        <v>6236</v>
      </c>
      <c r="G24" s="3">
        <f t="shared" si="1"/>
        <v>2.5988097817933289</v>
      </c>
      <c r="H24" s="2">
        <v>9.8205504342462788</v>
      </c>
      <c r="I24" s="2">
        <v>17909</v>
      </c>
    </row>
    <row r="25" spans="1:9" ht="14.25" customHeight="1" x14ac:dyDescent="0.35">
      <c r="A25" s="1" t="s">
        <v>36</v>
      </c>
      <c r="B25" s="2" t="s">
        <v>32</v>
      </c>
      <c r="C25" s="2">
        <v>3529</v>
      </c>
      <c r="D25" s="2">
        <v>305</v>
      </c>
      <c r="E25" s="2">
        <v>243180</v>
      </c>
      <c r="F25" s="2">
        <f t="shared" si="0"/>
        <v>3224</v>
      </c>
      <c r="G25" s="3">
        <f t="shared" si="1"/>
        <v>1.325766921621844</v>
      </c>
      <c r="H25" s="2">
        <v>41.606628834608109</v>
      </c>
      <c r="I25" s="2">
        <v>48356</v>
      </c>
    </row>
    <row r="26" spans="1:9" ht="14.25" customHeight="1" x14ac:dyDescent="0.35">
      <c r="A26" s="1" t="s">
        <v>37</v>
      </c>
      <c r="B26" s="2" t="s">
        <v>10</v>
      </c>
      <c r="C26" s="2">
        <v>3964</v>
      </c>
      <c r="D26" s="2">
        <v>378</v>
      </c>
      <c r="E26" s="2">
        <v>246766</v>
      </c>
      <c r="F26" s="2">
        <f t="shared" si="0"/>
        <v>3586</v>
      </c>
      <c r="G26" s="3">
        <f t="shared" si="1"/>
        <v>1.4531985767893469</v>
      </c>
      <c r="H26" s="2">
        <v>13.6355899921383</v>
      </c>
      <c r="I26" s="2">
        <v>23109</v>
      </c>
    </row>
    <row r="27" spans="1:9" ht="14.25" customHeight="1" x14ac:dyDescent="0.35">
      <c r="A27" s="1" t="s">
        <v>37</v>
      </c>
      <c r="B27" s="2" t="s">
        <v>11</v>
      </c>
      <c r="C27" s="2">
        <v>8137</v>
      </c>
      <c r="D27" s="2">
        <v>1045</v>
      </c>
      <c r="E27" s="2">
        <v>253858</v>
      </c>
      <c r="F27" s="2">
        <f t="shared" si="0"/>
        <v>7092</v>
      </c>
      <c r="G27" s="3">
        <f t="shared" si="1"/>
        <v>2.793687809720395</v>
      </c>
      <c r="H27" s="2">
        <v>20.47246886054408</v>
      </c>
      <c r="I27" s="2">
        <v>12023</v>
      </c>
    </row>
    <row r="28" spans="1:9" ht="14.25" customHeight="1" x14ac:dyDescent="0.35">
      <c r="A28" s="1" t="s">
        <v>37</v>
      </c>
      <c r="B28" s="2" t="s">
        <v>12</v>
      </c>
      <c r="C28" s="2">
        <v>1963</v>
      </c>
      <c r="D28" s="2">
        <v>137</v>
      </c>
      <c r="E28" s="2">
        <v>255684</v>
      </c>
      <c r="F28" s="2">
        <f t="shared" si="0"/>
        <v>1826</v>
      </c>
      <c r="G28" s="3">
        <f t="shared" si="1"/>
        <v>0.71416279469970745</v>
      </c>
      <c r="H28" s="2">
        <v>11.2083665774941</v>
      </c>
      <c r="I28" s="2">
        <v>24537</v>
      </c>
    </row>
    <row r="29" spans="1:9" ht="14.25" customHeight="1" x14ac:dyDescent="0.35">
      <c r="A29" s="1" t="s">
        <v>37</v>
      </c>
      <c r="B29" s="2" t="s">
        <v>10</v>
      </c>
      <c r="C29" s="2">
        <v>1536</v>
      </c>
      <c r="D29" s="2">
        <v>155</v>
      </c>
      <c r="E29" s="2">
        <v>257065</v>
      </c>
      <c r="F29" s="2">
        <f t="shared" si="0"/>
        <v>1381</v>
      </c>
      <c r="G29" s="3">
        <f t="shared" si="1"/>
        <v>0.53721821329235797</v>
      </c>
      <c r="H29" s="2">
        <v>12.15762550327738</v>
      </c>
      <c r="I29" s="2">
        <v>36661</v>
      </c>
    </row>
    <row r="30" spans="1:9" ht="14.25" customHeight="1" x14ac:dyDescent="0.35">
      <c r="A30" s="1" t="s">
        <v>38</v>
      </c>
      <c r="B30" s="2" t="s">
        <v>32</v>
      </c>
      <c r="C30" s="2">
        <v>8340</v>
      </c>
      <c r="D30" s="2">
        <v>911</v>
      </c>
      <c r="E30" s="2">
        <v>264494</v>
      </c>
      <c r="F30" s="2">
        <f t="shared" si="0"/>
        <v>7429</v>
      </c>
      <c r="G30" s="3">
        <f t="shared" si="1"/>
        <v>2.8087593669421613</v>
      </c>
      <c r="H30" s="2">
        <v>37.302925586213682</v>
      </c>
      <c r="I30" s="2">
        <v>48659</v>
      </c>
    </row>
    <row r="31" spans="1:9" ht="14.25" customHeight="1" x14ac:dyDescent="0.35">
      <c r="A31" s="1" t="s">
        <v>38</v>
      </c>
      <c r="B31" s="2" t="s">
        <v>11</v>
      </c>
      <c r="C31" s="2">
        <v>8179</v>
      </c>
      <c r="D31" s="2">
        <v>446</v>
      </c>
      <c r="E31" s="2">
        <v>272227</v>
      </c>
      <c r="F31" s="2">
        <f t="shared" si="0"/>
        <v>7733</v>
      </c>
      <c r="G31" s="3">
        <f t="shared" si="1"/>
        <v>2.8406440213498292</v>
      </c>
      <c r="H31" s="2">
        <v>41.82171496581897</v>
      </c>
      <c r="I31" s="2">
        <v>43848</v>
      </c>
    </row>
    <row r="32" spans="1:9" ht="14.25" customHeight="1" x14ac:dyDescent="0.35">
      <c r="A32" s="1" t="s">
        <v>38</v>
      </c>
      <c r="B32" s="2" t="s">
        <v>32</v>
      </c>
      <c r="C32" s="2">
        <v>8967</v>
      </c>
      <c r="D32" s="2">
        <v>993</v>
      </c>
      <c r="E32" s="2">
        <v>280201</v>
      </c>
      <c r="F32" s="2">
        <f t="shared" si="0"/>
        <v>7974</v>
      </c>
      <c r="G32" s="3">
        <f t="shared" si="1"/>
        <v>2.8458142547671135</v>
      </c>
      <c r="H32" s="2">
        <v>52.792102811910027</v>
      </c>
      <c r="I32" s="2">
        <v>47804</v>
      </c>
    </row>
    <row r="33" spans="1:9" ht="14.25" customHeight="1" x14ac:dyDescent="0.35">
      <c r="A33" s="1" t="s">
        <v>38</v>
      </c>
      <c r="B33" s="2" t="s">
        <v>12</v>
      </c>
      <c r="C33" s="2">
        <v>9734</v>
      </c>
      <c r="D33" s="2">
        <v>652</v>
      </c>
      <c r="E33" s="2">
        <v>289283</v>
      </c>
      <c r="F33" s="2">
        <f t="shared" si="0"/>
        <v>9082</v>
      </c>
      <c r="G33" s="3">
        <f t="shared" si="1"/>
        <v>3.1394862470314533</v>
      </c>
      <c r="H33" s="2">
        <v>49.647922622483861</v>
      </c>
      <c r="I33" s="2">
        <v>25379</v>
      </c>
    </row>
    <row r="34" spans="1:9" ht="14.25" customHeight="1" x14ac:dyDescent="0.35">
      <c r="A34" s="1" t="s">
        <v>39</v>
      </c>
      <c r="B34" s="2" t="s">
        <v>32</v>
      </c>
      <c r="C34" s="2">
        <v>1845</v>
      </c>
      <c r="D34" s="2">
        <v>104</v>
      </c>
      <c r="E34" s="2">
        <v>291024</v>
      </c>
      <c r="F34" s="2">
        <f t="shared" si="0"/>
        <v>1741</v>
      </c>
      <c r="G34" s="3">
        <f t="shared" si="1"/>
        <v>0.59823244818296772</v>
      </c>
      <c r="H34" s="2">
        <v>28.158158777282971</v>
      </c>
      <c r="I34" s="2">
        <v>37766</v>
      </c>
    </row>
    <row r="35" spans="1:9" ht="14.25" customHeight="1" x14ac:dyDescent="0.35">
      <c r="A35" s="1" t="s">
        <v>39</v>
      </c>
      <c r="B35" s="2" t="s">
        <v>32</v>
      </c>
      <c r="C35" s="2">
        <v>6777</v>
      </c>
      <c r="D35" s="2">
        <v>981</v>
      </c>
      <c r="E35" s="2">
        <v>296820</v>
      </c>
      <c r="F35" s="2">
        <f t="shared" si="0"/>
        <v>5796</v>
      </c>
      <c r="G35" s="3">
        <f t="shared" si="1"/>
        <v>1.9526986052152819</v>
      </c>
      <c r="H35" s="2">
        <v>23.920557913887201</v>
      </c>
      <c r="I35" s="2">
        <v>53590</v>
      </c>
    </row>
    <row r="36" spans="1:9" ht="14.25" customHeight="1" x14ac:dyDescent="0.35">
      <c r="A36" s="1" t="s">
        <v>39</v>
      </c>
      <c r="B36" s="2" t="s">
        <v>12</v>
      </c>
      <c r="C36" s="2">
        <v>4036</v>
      </c>
      <c r="D36" s="2">
        <v>591</v>
      </c>
      <c r="E36" s="2">
        <v>300265</v>
      </c>
      <c r="F36" s="2">
        <f t="shared" si="0"/>
        <v>3445</v>
      </c>
      <c r="G36" s="3">
        <f t="shared" si="1"/>
        <v>1.1473198674504188</v>
      </c>
      <c r="H36" s="2">
        <v>44.219272975538267</v>
      </c>
      <c r="I36" s="2">
        <v>12563</v>
      </c>
    </row>
    <row r="37" spans="1:9" ht="14.25" customHeight="1" x14ac:dyDescent="0.35">
      <c r="A37" s="1" t="s">
        <v>39</v>
      </c>
      <c r="B37" s="2" t="s">
        <v>11</v>
      </c>
      <c r="C37" s="2">
        <v>6947</v>
      </c>
      <c r="D37" s="2">
        <v>908</v>
      </c>
      <c r="E37" s="2">
        <v>306304</v>
      </c>
      <c r="F37" s="2">
        <f t="shared" si="0"/>
        <v>6039</v>
      </c>
      <c r="G37" s="3">
        <f t="shared" si="1"/>
        <v>1.971570727120769</v>
      </c>
      <c r="H37" s="2">
        <v>14.117673944839121</v>
      </c>
      <c r="I37" s="2">
        <v>46060</v>
      </c>
    </row>
    <row r="38" spans="1:9" ht="14.25" customHeight="1" x14ac:dyDescent="0.35">
      <c r="A38" s="1" t="s">
        <v>40</v>
      </c>
      <c r="B38" s="2" t="s">
        <v>10</v>
      </c>
      <c r="C38" s="2">
        <v>3494</v>
      </c>
      <c r="D38" s="2">
        <v>281</v>
      </c>
      <c r="E38" s="2">
        <v>309517</v>
      </c>
      <c r="F38" s="2">
        <f t="shared" si="0"/>
        <v>3213</v>
      </c>
      <c r="G38" s="3">
        <f t="shared" si="1"/>
        <v>1.0380689913639638</v>
      </c>
      <c r="H38" s="2">
        <v>27.765518533715429</v>
      </c>
      <c r="I38" s="2">
        <v>39197</v>
      </c>
    </row>
    <row r="39" spans="1:9" ht="14.25" customHeight="1" x14ac:dyDescent="0.35">
      <c r="A39" s="1" t="s">
        <v>40</v>
      </c>
      <c r="B39" s="2" t="s">
        <v>11</v>
      </c>
      <c r="C39" s="2">
        <v>3719</v>
      </c>
      <c r="D39" s="2">
        <v>222</v>
      </c>
      <c r="E39" s="2">
        <v>313014</v>
      </c>
      <c r="F39" s="2">
        <f t="shared" si="0"/>
        <v>3497</v>
      </c>
      <c r="G39" s="3">
        <f t="shared" si="1"/>
        <v>1.1172024254506188</v>
      </c>
      <c r="H39" s="2">
        <v>21.669318305251519</v>
      </c>
      <c r="I39" s="2">
        <v>13586</v>
      </c>
    </row>
    <row r="40" spans="1:9" ht="14.25" customHeight="1" x14ac:dyDescent="0.35">
      <c r="A40" s="1" t="s">
        <v>40</v>
      </c>
      <c r="B40" s="2" t="s">
        <v>12</v>
      </c>
      <c r="C40" s="2">
        <v>2884</v>
      </c>
      <c r="D40" s="2">
        <v>341</v>
      </c>
      <c r="E40" s="2">
        <v>315557</v>
      </c>
      <c r="F40" s="2">
        <f t="shared" si="0"/>
        <v>2543</v>
      </c>
      <c r="G40" s="3">
        <f t="shared" si="1"/>
        <v>0.80587659281841306</v>
      </c>
      <c r="H40" s="2">
        <v>46.999749649033298</v>
      </c>
      <c r="I40" s="2">
        <v>26087</v>
      </c>
    </row>
    <row r="41" spans="1:9" ht="14.25" customHeight="1" x14ac:dyDescent="0.35">
      <c r="A41" s="1" t="s">
        <v>40</v>
      </c>
      <c r="B41" s="2" t="s">
        <v>32</v>
      </c>
      <c r="C41" s="2">
        <v>5349</v>
      </c>
      <c r="D41" s="2">
        <v>502</v>
      </c>
      <c r="E41" s="2">
        <v>320404</v>
      </c>
      <c r="F41" s="2">
        <f t="shared" si="0"/>
        <v>4847</v>
      </c>
      <c r="G41" s="3">
        <f t="shared" si="1"/>
        <v>1.5127776182569506</v>
      </c>
      <c r="H41" s="2">
        <v>5.2152906954969351</v>
      </c>
      <c r="I41" s="2">
        <v>58868</v>
      </c>
    </row>
    <row r="42" spans="1:9" ht="14.25" customHeight="1" x14ac:dyDescent="0.35">
      <c r="A42" s="1" t="s">
        <v>41</v>
      </c>
      <c r="B42" s="2" t="s">
        <v>11</v>
      </c>
      <c r="C42" s="2">
        <v>6179</v>
      </c>
      <c r="D42" s="2">
        <v>384</v>
      </c>
      <c r="E42" s="2">
        <v>326199</v>
      </c>
      <c r="F42" s="2">
        <f t="shared" si="0"/>
        <v>5795</v>
      </c>
      <c r="G42" s="3">
        <f t="shared" si="1"/>
        <v>1.7765229200580015</v>
      </c>
      <c r="H42" s="2">
        <v>14.71218489327067</v>
      </c>
      <c r="I42" s="2">
        <v>33225</v>
      </c>
    </row>
    <row r="43" spans="1:9" ht="14.25" customHeight="1" x14ac:dyDescent="0.35">
      <c r="A43" s="1" t="s">
        <v>41</v>
      </c>
      <c r="B43" s="2" t="s">
        <v>10</v>
      </c>
      <c r="C43" s="2">
        <v>7610</v>
      </c>
      <c r="D43" s="2">
        <v>757</v>
      </c>
      <c r="E43" s="2">
        <v>333052</v>
      </c>
      <c r="F43" s="2">
        <f t="shared" si="0"/>
        <v>6853</v>
      </c>
      <c r="G43" s="3">
        <f t="shared" si="1"/>
        <v>2.0576366453286572</v>
      </c>
      <c r="H43" s="2">
        <v>44.450416151231643</v>
      </c>
      <c r="I43" s="2">
        <v>39750</v>
      </c>
    </row>
    <row r="44" spans="1:9" ht="14.25" customHeight="1" x14ac:dyDescent="0.35">
      <c r="A44" s="1" t="s">
        <v>41</v>
      </c>
      <c r="B44" s="2" t="s">
        <v>12</v>
      </c>
      <c r="C44" s="2">
        <v>7430</v>
      </c>
      <c r="D44" s="2">
        <v>397</v>
      </c>
      <c r="E44" s="2">
        <v>340085</v>
      </c>
      <c r="F44" s="2">
        <f t="shared" si="0"/>
        <v>7033</v>
      </c>
      <c r="G44" s="3">
        <f t="shared" si="1"/>
        <v>2.0680124086625402</v>
      </c>
      <c r="H44" s="2">
        <v>28.065042562888689</v>
      </c>
      <c r="I44" s="2">
        <v>16643</v>
      </c>
    </row>
    <row r="45" spans="1:9" ht="14.25" customHeight="1" x14ac:dyDescent="0.35">
      <c r="A45" s="1" t="s">
        <v>41</v>
      </c>
      <c r="B45" s="2" t="s">
        <v>11</v>
      </c>
      <c r="C45" s="2">
        <v>8154</v>
      </c>
      <c r="D45" s="2">
        <v>1149</v>
      </c>
      <c r="E45" s="2">
        <v>347090</v>
      </c>
      <c r="F45" s="2">
        <f t="shared" si="0"/>
        <v>7005</v>
      </c>
      <c r="G45" s="3">
        <f t="shared" si="1"/>
        <v>2.0182085338096747</v>
      </c>
      <c r="H45" s="2">
        <v>26.003918292085629</v>
      </c>
      <c r="I45" s="2">
        <v>37523</v>
      </c>
    </row>
    <row r="46" spans="1:9" ht="14.25" customHeight="1" x14ac:dyDescent="0.35">
      <c r="A46" s="1" t="s">
        <v>42</v>
      </c>
      <c r="B46" s="2" t="s">
        <v>10</v>
      </c>
      <c r="C46" s="2">
        <v>7488</v>
      </c>
      <c r="D46" s="2">
        <v>568</v>
      </c>
      <c r="E46" s="2">
        <v>354010</v>
      </c>
      <c r="F46" s="2">
        <f t="shared" si="0"/>
        <v>6920</v>
      </c>
      <c r="G46" s="3">
        <f t="shared" si="1"/>
        <v>1.9547470410440384</v>
      </c>
      <c r="H46" s="2">
        <v>13.47730290104799</v>
      </c>
      <c r="I46" s="2">
        <v>46727</v>
      </c>
    </row>
    <row r="47" spans="1:9" ht="14.25" customHeight="1" x14ac:dyDescent="0.35">
      <c r="A47" s="1" t="s">
        <v>42</v>
      </c>
      <c r="B47" s="2" t="s">
        <v>12</v>
      </c>
      <c r="C47" s="2">
        <v>5737</v>
      </c>
      <c r="D47" s="2">
        <v>666</v>
      </c>
      <c r="E47" s="2">
        <v>359081</v>
      </c>
      <c r="F47" s="2">
        <f t="shared" si="0"/>
        <v>5071</v>
      </c>
      <c r="G47" s="3">
        <f t="shared" si="1"/>
        <v>1.4122161852061232</v>
      </c>
      <c r="H47" s="2">
        <v>4.6034181702735593</v>
      </c>
      <c r="I47" s="2">
        <v>21005</v>
      </c>
    </row>
    <row r="48" spans="1:9" ht="14.25" customHeight="1" x14ac:dyDescent="0.35">
      <c r="A48" s="1" t="s">
        <v>42</v>
      </c>
      <c r="B48" s="2" t="s">
        <v>10</v>
      </c>
      <c r="C48" s="2">
        <v>7525</v>
      </c>
      <c r="D48" s="2">
        <v>610</v>
      </c>
      <c r="E48" s="2">
        <v>365996</v>
      </c>
      <c r="F48" s="2">
        <f t="shared" si="0"/>
        <v>6915</v>
      </c>
      <c r="G48" s="3">
        <f t="shared" si="1"/>
        <v>1.8893649110919244</v>
      </c>
      <c r="H48" s="2">
        <v>5.7694619613329108</v>
      </c>
      <c r="I48" s="2">
        <v>53543</v>
      </c>
    </row>
    <row r="49" spans="1:9" ht="14.25" customHeight="1" x14ac:dyDescent="0.35">
      <c r="A49" s="1" t="s">
        <v>42</v>
      </c>
      <c r="B49" s="2" t="s">
        <v>12</v>
      </c>
      <c r="C49" s="2">
        <v>4850</v>
      </c>
      <c r="D49" s="2">
        <v>494</v>
      </c>
      <c r="E49" s="2">
        <v>370352</v>
      </c>
      <c r="F49" s="2">
        <f t="shared" si="0"/>
        <v>4356</v>
      </c>
      <c r="G49" s="3">
        <f t="shared" si="1"/>
        <v>1.1761783384455871</v>
      </c>
      <c r="H49" s="2">
        <v>20.46539508359615</v>
      </c>
      <c r="I49" s="2">
        <v>10161</v>
      </c>
    </row>
    <row r="50" spans="1:9" ht="14.25" customHeight="1" x14ac:dyDescent="0.35">
      <c r="A50" s="1" t="s">
        <v>43</v>
      </c>
      <c r="B50" s="2" t="s">
        <v>32</v>
      </c>
      <c r="C50" s="2">
        <v>1689</v>
      </c>
      <c r="D50" s="2">
        <v>176</v>
      </c>
      <c r="E50" s="2">
        <v>371865</v>
      </c>
      <c r="F50" s="2">
        <f t="shared" si="0"/>
        <v>1513</v>
      </c>
      <c r="G50" s="3">
        <f t="shared" si="1"/>
        <v>0.4068680838476329</v>
      </c>
      <c r="H50" s="2">
        <v>38.012181840183942</v>
      </c>
      <c r="I50" s="2">
        <v>26029</v>
      </c>
    </row>
    <row r="51" spans="1:9" ht="14.25" customHeight="1" x14ac:dyDescent="0.35">
      <c r="A51" s="1" t="s">
        <v>43</v>
      </c>
      <c r="B51" s="2" t="s">
        <v>11</v>
      </c>
      <c r="C51" s="2">
        <v>6175</v>
      </c>
      <c r="D51" s="2">
        <v>422</v>
      </c>
      <c r="E51" s="2">
        <v>377618</v>
      </c>
      <c r="F51" s="2">
        <f t="shared" si="0"/>
        <v>5753</v>
      </c>
      <c r="G51" s="3">
        <f t="shared" si="1"/>
        <v>1.5234972909130391</v>
      </c>
      <c r="H51" s="2">
        <v>37.86101298137271</v>
      </c>
      <c r="I51" s="2">
        <v>59745</v>
      </c>
    </row>
    <row r="52" spans="1:9" ht="14.25" customHeight="1" x14ac:dyDescent="0.35">
      <c r="A52" s="1" t="s">
        <v>43</v>
      </c>
      <c r="B52" s="2" t="s">
        <v>10</v>
      </c>
      <c r="C52" s="2">
        <v>9648</v>
      </c>
      <c r="D52" s="2">
        <v>1417</v>
      </c>
      <c r="E52" s="2">
        <v>385849</v>
      </c>
      <c r="F52" s="2">
        <f t="shared" si="0"/>
        <v>8231</v>
      </c>
      <c r="G52" s="3">
        <f t="shared" si="1"/>
        <v>2.1332179168534844</v>
      </c>
      <c r="H52" s="2">
        <v>3.6633501706626168</v>
      </c>
      <c r="I52" s="2">
        <v>24226</v>
      </c>
    </row>
    <row r="53" spans="1:9" ht="14.25" customHeight="1" x14ac:dyDescent="0.35">
      <c r="A53" s="1" t="s">
        <v>43</v>
      </c>
      <c r="B53" s="2" t="s">
        <v>12</v>
      </c>
      <c r="C53" s="2">
        <v>6078</v>
      </c>
      <c r="D53" s="2">
        <v>775</v>
      </c>
      <c r="E53" s="2">
        <v>391152</v>
      </c>
      <c r="F53" s="2">
        <f t="shared" si="0"/>
        <v>5303</v>
      </c>
      <c r="G53" s="3">
        <f t="shared" si="1"/>
        <v>1.3557389454738822</v>
      </c>
      <c r="H53" s="2">
        <v>37.760512537325639</v>
      </c>
      <c r="I53" s="2">
        <v>38731</v>
      </c>
    </row>
    <row r="54" spans="1:9" ht="14.25" customHeight="1" x14ac:dyDescent="0.35">
      <c r="A54" s="1" t="s">
        <v>44</v>
      </c>
      <c r="B54" s="2" t="s">
        <v>10</v>
      </c>
      <c r="C54" s="2">
        <v>6448</v>
      </c>
      <c r="D54" s="2">
        <v>928</v>
      </c>
      <c r="E54" s="2">
        <v>396672</v>
      </c>
      <c r="F54" s="2">
        <f t="shared" si="0"/>
        <v>5520</v>
      </c>
      <c r="G54" s="3">
        <f t="shared" si="1"/>
        <v>1.3915779283639884</v>
      </c>
      <c r="H54" s="2">
        <v>30.118586640851881</v>
      </c>
      <c r="I54" s="2">
        <v>53922</v>
      </c>
    </row>
    <row r="55" spans="1:9" ht="14.25" customHeight="1" x14ac:dyDescent="0.35">
      <c r="A55" s="1" t="s">
        <v>44</v>
      </c>
      <c r="B55" s="2" t="s">
        <v>10</v>
      </c>
      <c r="C55" s="2">
        <v>2179</v>
      </c>
      <c r="D55" s="2">
        <v>303</v>
      </c>
      <c r="E55" s="2">
        <v>398548</v>
      </c>
      <c r="F55" s="2">
        <f t="shared" si="0"/>
        <v>1876</v>
      </c>
      <c r="G55" s="3">
        <f t="shared" si="1"/>
        <v>0.47070867248110648</v>
      </c>
      <c r="H55" s="2">
        <v>33.909842729106657</v>
      </c>
      <c r="I55" s="2">
        <v>54848</v>
      </c>
    </row>
    <row r="56" spans="1:9" ht="14.25" customHeight="1" x14ac:dyDescent="0.35">
      <c r="A56" s="1" t="s">
        <v>44</v>
      </c>
      <c r="B56" s="2" t="s">
        <v>11</v>
      </c>
      <c r="C56" s="2">
        <v>7406</v>
      </c>
      <c r="D56" s="2">
        <v>813</v>
      </c>
      <c r="E56" s="2">
        <v>405141</v>
      </c>
      <c r="F56" s="2">
        <f t="shared" si="0"/>
        <v>6593</v>
      </c>
      <c r="G56" s="3">
        <f t="shared" si="1"/>
        <v>1.6273346810122897</v>
      </c>
      <c r="H56" s="2">
        <v>24.457411123534769</v>
      </c>
      <c r="I56" s="2">
        <v>13390</v>
      </c>
    </row>
    <row r="57" spans="1:9" ht="14.25" customHeight="1" x14ac:dyDescent="0.35">
      <c r="A57" s="1" t="s">
        <v>44</v>
      </c>
      <c r="B57" s="2" t="s">
        <v>32</v>
      </c>
      <c r="C57" s="2">
        <v>9591</v>
      </c>
      <c r="D57" s="2">
        <v>1363</v>
      </c>
      <c r="E57" s="2">
        <v>413369</v>
      </c>
      <c r="F57" s="2">
        <f t="shared" si="0"/>
        <v>8228</v>
      </c>
      <c r="G57" s="3">
        <f t="shared" si="1"/>
        <v>1.9904734026983155</v>
      </c>
      <c r="H57" s="2">
        <v>10.494255737609739</v>
      </c>
      <c r="I57" s="2">
        <v>15997</v>
      </c>
    </row>
    <row r="58" spans="1:9" ht="14.25" customHeight="1" x14ac:dyDescent="0.35">
      <c r="A58" s="1" t="s">
        <v>45</v>
      </c>
      <c r="B58" s="2" t="s">
        <v>10</v>
      </c>
      <c r="C58" s="2">
        <v>7907</v>
      </c>
      <c r="D58" s="2">
        <v>465</v>
      </c>
      <c r="E58" s="2">
        <v>420811</v>
      </c>
      <c r="F58" s="2">
        <f t="shared" si="0"/>
        <v>7442</v>
      </c>
      <c r="G58" s="3">
        <f t="shared" si="1"/>
        <v>1.7684898921368499</v>
      </c>
      <c r="H58" s="2">
        <v>33.257448118038738</v>
      </c>
      <c r="I58" s="2">
        <v>22693</v>
      </c>
    </row>
    <row r="59" spans="1:9" ht="14.25" customHeight="1" x14ac:dyDescent="0.35">
      <c r="A59" s="1" t="s">
        <v>45</v>
      </c>
      <c r="B59" s="2" t="s">
        <v>12</v>
      </c>
      <c r="C59" s="2">
        <v>9800</v>
      </c>
      <c r="D59" s="2">
        <v>682</v>
      </c>
      <c r="E59" s="2">
        <v>429929</v>
      </c>
      <c r="F59" s="2">
        <f t="shared" si="0"/>
        <v>9118</v>
      </c>
      <c r="G59" s="3">
        <f t="shared" si="1"/>
        <v>2.120815297409572</v>
      </c>
      <c r="H59" s="2">
        <v>6.2966210699906267</v>
      </c>
      <c r="I59" s="2">
        <v>59815</v>
      </c>
    </row>
    <row r="60" spans="1:9" ht="14.25" customHeight="1" x14ac:dyDescent="0.35">
      <c r="A60" s="1" t="s">
        <v>45</v>
      </c>
      <c r="B60" s="2" t="s">
        <v>12</v>
      </c>
      <c r="C60" s="2">
        <v>2638</v>
      </c>
      <c r="D60" s="2">
        <v>143</v>
      </c>
      <c r="E60" s="2">
        <v>432424</v>
      </c>
      <c r="F60" s="2">
        <f t="shared" si="0"/>
        <v>2495</v>
      </c>
      <c r="G60" s="3">
        <f t="shared" si="1"/>
        <v>0.57698000111002168</v>
      </c>
      <c r="H60" s="2">
        <v>6.9547481175882924</v>
      </c>
      <c r="I60" s="2">
        <v>52092</v>
      </c>
    </row>
    <row r="61" spans="1:9" ht="14.25" customHeight="1" x14ac:dyDescent="0.35">
      <c r="A61" s="1" t="s">
        <v>45</v>
      </c>
      <c r="B61" s="2" t="s">
        <v>32</v>
      </c>
      <c r="C61" s="2">
        <v>6671</v>
      </c>
      <c r="D61" s="2">
        <v>550</v>
      </c>
      <c r="E61" s="2">
        <v>438545</v>
      </c>
      <c r="F61" s="2">
        <f t="shared" si="0"/>
        <v>6121</v>
      </c>
      <c r="G61" s="3">
        <f t="shared" si="1"/>
        <v>1.3957518612685129</v>
      </c>
      <c r="H61" s="2">
        <v>17.750287883797562</v>
      </c>
      <c r="I61" s="2">
        <v>10541</v>
      </c>
    </row>
    <row r="62" spans="1:9" ht="14.25" customHeight="1" x14ac:dyDescent="0.35">
      <c r="A62" s="1" t="s">
        <v>46</v>
      </c>
      <c r="B62" s="2" t="s">
        <v>12</v>
      </c>
      <c r="C62" s="2">
        <v>7928</v>
      </c>
      <c r="D62" s="2">
        <v>704</v>
      </c>
      <c r="E62" s="2">
        <v>445769</v>
      </c>
      <c r="F62" s="2">
        <f t="shared" si="0"/>
        <v>7224</v>
      </c>
      <c r="G62" s="3">
        <f t="shared" si="1"/>
        <v>1.6205702953772021</v>
      </c>
      <c r="H62" s="2">
        <v>11.194362999670229</v>
      </c>
      <c r="I62" s="2">
        <v>31817</v>
      </c>
    </row>
    <row r="63" spans="1:9" ht="14.25" customHeight="1" x14ac:dyDescent="0.35">
      <c r="A63" s="1" t="s">
        <v>46</v>
      </c>
      <c r="B63" s="2" t="s">
        <v>32</v>
      </c>
      <c r="C63" s="2">
        <v>2382</v>
      </c>
      <c r="D63" s="2">
        <v>183</v>
      </c>
      <c r="E63" s="2">
        <v>447968</v>
      </c>
      <c r="F63" s="2">
        <f t="shared" si="0"/>
        <v>2199</v>
      </c>
      <c r="G63" s="3">
        <f t="shared" si="1"/>
        <v>0.49088327737695547</v>
      </c>
      <c r="H63" s="2">
        <v>4.7335970426459033</v>
      </c>
      <c r="I63" s="2">
        <v>47861</v>
      </c>
    </row>
    <row r="64" spans="1:9" ht="14.25" customHeight="1" x14ac:dyDescent="0.35">
      <c r="A64" s="1" t="s">
        <v>46</v>
      </c>
      <c r="B64" s="2" t="s">
        <v>12</v>
      </c>
      <c r="C64" s="2">
        <v>2403</v>
      </c>
      <c r="D64" s="2">
        <v>319</v>
      </c>
      <c r="E64" s="2">
        <v>450052</v>
      </c>
      <c r="F64" s="2">
        <f t="shared" si="0"/>
        <v>2084</v>
      </c>
      <c r="G64" s="3">
        <f t="shared" si="1"/>
        <v>0.46305760223263093</v>
      </c>
      <c r="H64" s="2">
        <v>29.92120910472568</v>
      </c>
      <c r="I64" s="2">
        <v>23428</v>
      </c>
    </row>
    <row r="65" spans="1:9" ht="14.25" customHeight="1" x14ac:dyDescent="0.35">
      <c r="A65" s="1" t="s">
        <v>46</v>
      </c>
      <c r="B65" s="2" t="s">
        <v>11</v>
      </c>
      <c r="C65" s="2">
        <v>4292</v>
      </c>
      <c r="D65" s="2">
        <v>367</v>
      </c>
      <c r="E65" s="2">
        <v>453977</v>
      </c>
      <c r="F65" s="2">
        <f t="shared" si="0"/>
        <v>3925</v>
      </c>
      <c r="G65" s="3">
        <f t="shared" si="1"/>
        <v>0.86458124530537894</v>
      </c>
      <c r="H65" s="2">
        <v>3.5037017293827661</v>
      </c>
      <c r="I65" s="2">
        <v>53934</v>
      </c>
    </row>
    <row r="66" spans="1:9" ht="14.25" customHeight="1" x14ac:dyDescent="0.35">
      <c r="A66" s="1" t="s">
        <v>47</v>
      </c>
      <c r="B66" s="2" t="s">
        <v>10</v>
      </c>
      <c r="C66" s="2">
        <v>1419</v>
      </c>
      <c r="D66" s="2">
        <v>110</v>
      </c>
      <c r="E66" s="2">
        <v>455286</v>
      </c>
      <c r="F66" s="2">
        <f t="shared" si="0"/>
        <v>1309</v>
      </c>
      <c r="G66" s="3">
        <f t="shared" si="1"/>
        <v>0.28751158612388694</v>
      </c>
      <c r="H66" s="2">
        <v>31.554451487636339</v>
      </c>
      <c r="I66" s="2">
        <v>58831</v>
      </c>
    </row>
    <row r="67" spans="1:9" ht="14.25" customHeight="1" x14ac:dyDescent="0.35">
      <c r="A67" s="1" t="s">
        <v>47</v>
      </c>
      <c r="B67" s="2" t="s">
        <v>11</v>
      </c>
      <c r="C67" s="2">
        <v>5517</v>
      </c>
      <c r="D67" s="2">
        <v>575</v>
      </c>
      <c r="E67" s="2">
        <v>460228</v>
      </c>
      <c r="F67" s="2">
        <f t="shared" ref="F67:F130" si="2">C67-D67</f>
        <v>4942</v>
      </c>
      <c r="G67" s="3">
        <f t="shared" ref="G67:G130" si="3">(F67/E67)*100</f>
        <v>1.07381558705685</v>
      </c>
      <c r="H67" s="2">
        <v>29.45844233727631</v>
      </c>
      <c r="I67" s="2">
        <v>20258</v>
      </c>
    </row>
    <row r="68" spans="1:9" ht="14.25" customHeight="1" x14ac:dyDescent="0.35">
      <c r="A68" s="1" t="s">
        <v>47</v>
      </c>
      <c r="B68" s="2" t="s">
        <v>10</v>
      </c>
      <c r="C68" s="2">
        <v>4302</v>
      </c>
      <c r="D68" s="2">
        <v>275</v>
      </c>
      <c r="E68" s="2">
        <v>464255</v>
      </c>
      <c r="F68" s="2">
        <f t="shared" si="2"/>
        <v>4027</v>
      </c>
      <c r="G68" s="3">
        <f t="shared" si="3"/>
        <v>0.86741122874282461</v>
      </c>
      <c r="H68" s="2">
        <v>15.72131694865968</v>
      </c>
      <c r="I68" s="2">
        <v>26044</v>
      </c>
    </row>
    <row r="69" spans="1:9" ht="14.25" customHeight="1" x14ac:dyDescent="0.35">
      <c r="A69" s="1" t="s">
        <v>47</v>
      </c>
      <c r="B69" s="2" t="s">
        <v>10</v>
      </c>
      <c r="C69" s="2">
        <v>8857</v>
      </c>
      <c r="D69" s="2">
        <v>1153</v>
      </c>
      <c r="E69" s="2">
        <v>471959</v>
      </c>
      <c r="F69" s="2">
        <f t="shared" si="2"/>
        <v>7704</v>
      </c>
      <c r="G69" s="3">
        <f t="shared" si="3"/>
        <v>1.6323451825264481</v>
      </c>
      <c r="H69" s="2">
        <v>19.214592793018038</v>
      </c>
      <c r="I69" s="2">
        <v>39411</v>
      </c>
    </row>
    <row r="70" spans="1:9" ht="14.25" customHeight="1" x14ac:dyDescent="0.35">
      <c r="A70" s="1" t="s">
        <v>48</v>
      </c>
      <c r="B70" s="2" t="s">
        <v>10</v>
      </c>
      <c r="C70" s="2">
        <v>8870</v>
      </c>
      <c r="D70" s="2">
        <v>509</v>
      </c>
      <c r="E70" s="2">
        <v>480320</v>
      </c>
      <c r="F70" s="2">
        <f t="shared" si="2"/>
        <v>8361</v>
      </c>
      <c r="G70" s="3">
        <f t="shared" si="3"/>
        <v>1.7407145236508996</v>
      </c>
      <c r="H70" s="2">
        <v>25.077864756828781</v>
      </c>
      <c r="I70" s="2">
        <v>15469</v>
      </c>
    </row>
    <row r="71" spans="1:9" ht="14.25" customHeight="1" x14ac:dyDescent="0.35">
      <c r="A71" s="1" t="s">
        <v>48</v>
      </c>
      <c r="B71" s="2" t="s">
        <v>11</v>
      </c>
      <c r="C71" s="2">
        <v>6693</v>
      </c>
      <c r="D71" s="2">
        <v>995</v>
      </c>
      <c r="E71" s="2">
        <v>486018</v>
      </c>
      <c r="F71" s="2">
        <f t="shared" si="2"/>
        <v>5698</v>
      </c>
      <c r="G71" s="3">
        <f t="shared" si="3"/>
        <v>1.1723845618886544</v>
      </c>
      <c r="H71" s="2">
        <v>23.761877132122681</v>
      </c>
      <c r="I71" s="2">
        <v>38854</v>
      </c>
    </row>
    <row r="72" spans="1:9" ht="14.25" customHeight="1" x14ac:dyDescent="0.35">
      <c r="A72" s="1" t="s">
        <v>48</v>
      </c>
      <c r="B72" s="2" t="s">
        <v>10</v>
      </c>
      <c r="C72" s="2">
        <v>1767</v>
      </c>
      <c r="D72" s="2">
        <v>224</v>
      </c>
      <c r="E72" s="2">
        <v>487561</v>
      </c>
      <c r="F72" s="2">
        <f t="shared" si="2"/>
        <v>1543</v>
      </c>
      <c r="G72" s="3">
        <f t="shared" si="3"/>
        <v>0.31647322078673229</v>
      </c>
      <c r="H72" s="2">
        <v>13.208603641390511</v>
      </c>
      <c r="I72" s="2">
        <v>16256</v>
      </c>
    </row>
    <row r="73" spans="1:9" ht="14.25" customHeight="1" x14ac:dyDescent="0.35">
      <c r="A73" s="1" t="s">
        <v>48</v>
      </c>
      <c r="B73" s="2" t="s">
        <v>11</v>
      </c>
      <c r="C73" s="2">
        <v>3044</v>
      </c>
      <c r="D73" s="2">
        <v>212</v>
      </c>
      <c r="E73" s="2">
        <v>490393</v>
      </c>
      <c r="F73" s="2">
        <f t="shared" si="2"/>
        <v>2832</v>
      </c>
      <c r="G73" s="3">
        <f t="shared" si="3"/>
        <v>0.57749600830354431</v>
      </c>
      <c r="H73" s="2">
        <v>8.5343795690395261</v>
      </c>
      <c r="I73" s="2">
        <v>20720</v>
      </c>
    </row>
    <row r="74" spans="1:9" ht="14.25" customHeight="1" x14ac:dyDescent="0.35">
      <c r="A74" s="1" t="s">
        <v>49</v>
      </c>
      <c r="B74" s="2" t="s">
        <v>32</v>
      </c>
      <c r="C74" s="2">
        <v>2549</v>
      </c>
      <c r="D74" s="2">
        <v>128</v>
      </c>
      <c r="E74" s="2">
        <v>492814</v>
      </c>
      <c r="F74" s="2">
        <f t="shared" si="2"/>
        <v>2421</v>
      </c>
      <c r="G74" s="3">
        <f t="shared" si="3"/>
        <v>0.49126039438814639</v>
      </c>
      <c r="H74" s="2">
        <v>12.734216154573531</v>
      </c>
      <c r="I74" s="2">
        <v>43937</v>
      </c>
    </row>
    <row r="75" spans="1:9" ht="14.25" customHeight="1" x14ac:dyDescent="0.35">
      <c r="A75" s="1" t="s">
        <v>49</v>
      </c>
      <c r="B75" s="2" t="s">
        <v>12</v>
      </c>
      <c r="C75" s="2">
        <v>7140</v>
      </c>
      <c r="D75" s="2">
        <v>939</v>
      </c>
      <c r="E75" s="2">
        <v>499015</v>
      </c>
      <c r="F75" s="2">
        <f t="shared" si="2"/>
        <v>6201</v>
      </c>
      <c r="G75" s="3">
        <f t="shared" si="3"/>
        <v>1.2426480165926876</v>
      </c>
      <c r="H75" s="2">
        <v>25.120888149654821</v>
      </c>
      <c r="I75" s="2">
        <v>43598</v>
      </c>
    </row>
    <row r="76" spans="1:9" ht="14.25" customHeight="1" x14ac:dyDescent="0.35">
      <c r="A76" s="1" t="s">
        <v>49</v>
      </c>
      <c r="B76" s="2" t="s">
        <v>12</v>
      </c>
      <c r="C76" s="2">
        <v>4716</v>
      </c>
      <c r="D76" s="2">
        <v>569</v>
      </c>
      <c r="E76" s="2">
        <v>503162</v>
      </c>
      <c r="F76" s="2">
        <f t="shared" si="2"/>
        <v>4147</v>
      </c>
      <c r="G76" s="3">
        <f t="shared" si="3"/>
        <v>0.82418783612434965</v>
      </c>
      <c r="H76" s="2">
        <v>25.64820077827817</v>
      </c>
      <c r="I76" s="2">
        <v>11651</v>
      </c>
    </row>
    <row r="77" spans="1:9" ht="14.25" customHeight="1" x14ac:dyDescent="0.35">
      <c r="A77" s="1" t="s">
        <v>49</v>
      </c>
      <c r="B77" s="2" t="s">
        <v>10</v>
      </c>
      <c r="C77" s="2">
        <v>5481</v>
      </c>
      <c r="D77" s="2">
        <v>673</v>
      </c>
      <c r="E77" s="2">
        <v>507970</v>
      </c>
      <c r="F77" s="2">
        <f t="shared" si="2"/>
        <v>4808</v>
      </c>
      <c r="G77" s="3">
        <f t="shared" si="3"/>
        <v>0.94651258932614124</v>
      </c>
      <c r="H77" s="2">
        <v>13.08758391243577</v>
      </c>
      <c r="I77" s="2">
        <v>29194</v>
      </c>
    </row>
    <row r="78" spans="1:9" ht="14.25" customHeight="1" x14ac:dyDescent="0.35">
      <c r="A78" s="1" t="s">
        <v>50</v>
      </c>
      <c r="B78" s="2" t="s">
        <v>11</v>
      </c>
      <c r="C78" s="2">
        <v>8898</v>
      </c>
      <c r="D78" s="2">
        <v>1131</v>
      </c>
      <c r="E78" s="2">
        <v>515737</v>
      </c>
      <c r="F78" s="2">
        <f t="shared" si="2"/>
        <v>7767</v>
      </c>
      <c r="G78" s="3">
        <f t="shared" si="3"/>
        <v>1.506000151239876</v>
      </c>
      <c r="H78" s="2">
        <v>2.1877429775253669</v>
      </c>
      <c r="I78" s="2">
        <v>35051</v>
      </c>
    </row>
    <row r="79" spans="1:9" ht="14.25" customHeight="1" x14ac:dyDescent="0.35">
      <c r="A79" s="1" t="s">
        <v>50</v>
      </c>
      <c r="B79" s="2" t="s">
        <v>12</v>
      </c>
      <c r="C79" s="2">
        <v>7548</v>
      </c>
      <c r="D79" s="2">
        <v>433</v>
      </c>
      <c r="E79" s="2">
        <v>522852</v>
      </c>
      <c r="F79" s="2">
        <f t="shared" si="2"/>
        <v>7115</v>
      </c>
      <c r="G79" s="3">
        <f t="shared" si="3"/>
        <v>1.3608057347012157</v>
      </c>
      <c r="H79" s="2">
        <v>8.3562843787534522</v>
      </c>
      <c r="I79" s="2">
        <v>37386</v>
      </c>
    </row>
    <row r="80" spans="1:9" ht="14.25" customHeight="1" x14ac:dyDescent="0.35">
      <c r="A80" s="1" t="s">
        <v>50</v>
      </c>
      <c r="B80" s="2" t="s">
        <v>11</v>
      </c>
      <c r="C80" s="2">
        <v>3293</v>
      </c>
      <c r="D80" s="2">
        <v>282</v>
      </c>
      <c r="E80" s="2">
        <v>525863</v>
      </c>
      <c r="F80" s="2">
        <f t="shared" si="2"/>
        <v>3011</v>
      </c>
      <c r="G80" s="3">
        <f t="shared" si="3"/>
        <v>0.57258259280458979</v>
      </c>
      <c r="H80" s="2">
        <v>27.040693108281051</v>
      </c>
      <c r="I80" s="2">
        <v>19518</v>
      </c>
    </row>
    <row r="81" spans="1:9" ht="14.25" customHeight="1" x14ac:dyDescent="0.35">
      <c r="A81" s="1" t="s">
        <v>50</v>
      </c>
      <c r="B81" s="2" t="s">
        <v>11</v>
      </c>
      <c r="C81" s="2">
        <v>5837</v>
      </c>
      <c r="D81" s="2">
        <v>359</v>
      </c>
      <c r="E81" s="2">
        <v>531341</v>
      </c>
      <c r="F81" s="2">
        <f t="shared" si="2"/>
        <v>5478</v>
      </c>
      <c r="G81" s="3">
        <f t="shared" si="3"/>
        <v>1.0309763409938251</v>
      </c>
      <c r="H81" s="2">
        <v>6.8073045370110723</v>
      </c>
      <c r="I81" s="2">
        <v>56026</v>
      </c>
    </row>
    <row r="82" spans="1:9" ht="14.25" customHeight="1" x14ac:dyDescent="0.35">
      <c r="A82" s="1" t="s">
        <v>51</v>
      </c>
      <c r="B82" s="2" t="s">
        <v>10</v>
      </c>
      <c r="C82" s="2">
        <v>8758</v>
      </c>
      <c r="D82" s="2">
        <v>1193</v>
      </c>
      <c r="E82" s="2">
        <v>538906</v>
      </c>
      <c r="F82" s="2">
        <f t="shared" si="2"/>
        <v>7565</v>
      </c>
      <c r="G82" s="3">
        <f t="shared" si="3"/>
        <v>1.4037698596786825</v>
      </c>
      <c r="H82" s="2">
        <v>3.4213758985797149</v>
      </c>
      <c r="I82" s="2">
        <v>26184</v>
      </c>
    </row>
    <row r="83" spans="1:9" ht="14.25" customHeight="1" x14ac:dyDescent="0.35">
      <c r="A83" s="1" t="s">
        <v>51</v>
      </c>
      <c r="B83" s="2" t="s">
        <v>12</v>
      </c>
      <c r="C83" s="2">
        <v>7793</v>
      </c>
      <c r="D83" s="2">
        <v>875</v>
      </c>
      <c r="E83" s="2">
        <v>545824</v>
      </c>
      <c r="F83" s="2">
        <f t="shared" si="2"/>
        <v>6918</v>
      </c>
      <c r="G83" s="3">
        <f t="shared" si="3"/>
        <v>1.2674415196107169</v>
      </c>
      <c r="H83" s="2">
        <v>5.5136820660139527</v>
      </c>
      <c r="I83" s="2">
        <v>43787</v>
      </c>
    </row>
    <row r="84" spans="1:9" ht="14.25" customHeight="1" x14ac:dyDescent="0.35">
      <c r="A84" s="1" t="s">
        <v>51</v>
      </c>
      <c r="B84" s="2" t="s">
        <v>10</v>
      </c>
      <c r="C84" s="2">
        <v>8638</v>
      </c>
      <c r="D84" s="2">
        <v>717</v>
      </c>
      <c r="E84" s="2">
        <v>553745</v>
      </c>
      <c r="F84" s="2">
        <f t="shared" si="2"/>
        <v>7921</v>
      </c>
      <c r="G84" s="3">
        <f t="shared" si="3"/>
        <v>1.4304418098583283</v>
      </c>
      <c r="H84" s="2">
        <v>26.921416897669499</v>
      </c>
      <c r="I84" s="2">
        <v>31621</v>
      </c>
    </row>
    <row r="85" spans="1:9" ht="14.25" customHeight="1" x14ac:dyDescent="0.35">
      <c r="A85" s="1" t="s">
        <v>51</v>
      </c>
      <c r="B85" s="2" t="s">
        <v>10</v>
      </c>
      <c r="C85" s="2">
        <v>8993</v>
      </c>
      <c r="D85" s="2">
        <v>506</v>
      </c>
      <c r="E85" s="2">
        <v>562232</v>
      </c>
      <c r="F85" s="2">
        <f t="shared" si="2"/>
        <v>8487</v>
      </c>
      <c r="G85" s="3">
        <f t="shared" si="3"/>
        <v>1.5095192020375929</v>
      </c>
      <c r="H85" s="2">
        <v>3.5131404829323132</v>
      </c>
      <c r="I85" s="2">
        <v>20028</v>
      </c>
    </row>
    <row r="86" spans="1:9" ht="14.25" customHeight="1" x14ac:dyDescent="0.35">
      <c r="A86" s="1" t="s">
        <v>52</v>
      </c>
      <c r="B86" s="2" t="s">
        <v>12</v>
      </c>
      <c r="C86" s="2">
        <v>7007</v>
      </c>
      <c r="D86" s="2">
        <v>568</v>
      </c>
      <c r="E86" s="2">
        <v>568671</v>
      </c>
      <c r="F86" s="2">
        <f t="shared" si="2"/>
        <v>6439</v>
      </c>
      <c r="G86" s="3">
        <f t="shared" si="3"/>
        <v>1.1322891443382905</v>
      </c>
      <c r="H86" s="2">
        <v>11.50507059442103</v>
      </c>
      <c r="I86" s="2">
        <v>22448</v>
      </c>
    </row>
    <row r="87" spans="1:9" ht="14.25" customHeight="1" x14ac:dyDescent="0.35">
      <c r="A87" s="1" t="s">
        <v>52</v>
      </c>
      <c r="B87" s="2" t="s">
        <v>12</v>
      </c>
      <c r="C87" s="2">
        <v>6542</v>
      </c>
      <c r="D87" s="2">
        <v>539</v>
      </c>
      <c r="E87" s="2">
        <v>574674</v>
      </c>
      <c r="F87" s="2">
        <f t="shared" si="2"/>
        <v>6003</v>
      </c>
      <c r="G87" s="3">
        <f t="shared" si="3"/>
        <v>1.0445922383821087</v>
      </c>
      <c r="H87" s="2">
        <v>6.4069368024305948</v>
      </c>
      <c r="I87" s="2">
        <v>55253</v>
      </c>
    </row>
    <row r="88" spans="1:9" ht="14.25" customHeight="1" x14ac:dyDescent="0.35">
      <c r="A88" s="1" t="s">
        <v>52</v>
      </c>
      <c r="B88" s="2" t="s">
        <v>32</v>
      </c>
      <c r="C88" s="2">
        <v>7356</v>
      </c>
      <c r="D88" s="2">
        <v>904</v>
      </c>
      <c r="E88" s="2">
        <v>581126</v>
      </c>
      <c r="F88" s="2">
        <f t="shared" si="2"/>
        <v>6452</v>
      </c>
      <c r="G88" s="3">
        <f t="shared" si="3"/>
        <v>1.1102583604932494</v>
      </c>
      <c r="H88" s="2">
        <v>17.560907617280929</v>
      </c>
      <c r="I88" s="2">
        <v>44051</v>
      </c>
    </row>
    <row r="89" spans="1:9" ht="14.25" customHeight="1" x14ac:dyDescent="0.35">
      <c r="A89" s="1" t="s">
        <v>52</v>
      </c>
      <c r="B89" s="2" t="s">
        <v>32</v>
      </c>
      <c r="C89" s="2">
        <v>9433</v>
      </c>
      <c r="D89" s="2">
        <v>1073</v>
      </c>
      <c r="E89" s="2">
        <v>589486</v>
      </c>
      <c r="F89" s="2">
        <f t="shared" si="2"/>
        <v>8360</v>
      </c>
      <c r="G89" s="3">
        <f t="shared" si="3"/>
        <v>1.4181846557848703</v>
      </c>
      <c r="H89" s="2">
        <v>7.2934726185185053</v>
      </c>
      <c r="I89" s="2">
        <v>59811</v>
      </c>
    </row>
    <row r="90" spans="1:9" ht="14.25" customHeight="1" x14ac:dyDescent="0.35">
      <c r="A90" s="1" t="s">
        <v>53</v>
      </c>
      <c r="B90" s="2" t="s">
        <v>11</v>
      </c>
      <c r="C90" s="2">
        <v>8380</v>
      </c>
      <c r="D90" s="2">
        <v>1162</v>
      </c>
      <c r="E90" s="2">
        <v>596704</v>
      </c>
      <c r="F90" s="2">
        <f t="shared" si="2"/>
        <v>7218</v>
      </c>
      <c r="G90" s="3">
        <f t="shared" si="3"/>
        <v>1.2096449831072023</v>
      </c>
      <c r="H90" s="2">
        <v>18.05853488496809</v>
      </c>
      <c r="I90" s="2">
        <v>40447</v>
      </c>
    </row>
    <row r="91" spans="1:9" ht="14.25" customHeight="1" x14ac:dyDescent="0.35">
      <c r="A91" s="1" t="s">
        <v>53</v>
      </c>
      <c r="B91" s="2" t="s">
        <v>12</v>
      </c>
      <c r="C91" s="2">
        <v>3385</v>
      </c>
      <c r="D91" s="2">
        <v>329</v>
      </c>
      <c r="E91" s="2">
        <v>599760</v>
      </c>
      <c r="F91" s="2">
        <f t="shared" si="2"/>
        <v>3056</v>
      </c>
      <c r="G91" s="3">
        <f t="shared" si="3"/>
        <v>0.50953714819261031</v>
      </c>
      <c r="H91" s="2">
        <v>17.61788048552755</v>
      </c>
      <c r="I91" s="2">
        <v>28394</v>
      </c>
    </row>
    <row r="92" spans="1:9" ht="14.25" customHeight="1" x14ac:dyDescent="0.35">
      <c r="A92" s="1" t="s">
        <v>53</v>
      </c>
      <c r="B92" s="2" t="s">
        <v>32</v>
      </c>
      <c r="C92" s="2">
        <v>5268</v>
      </c>
      <c r="D92" s="2">
        <v>326</v>
      </c>
      <c r="E92" s="2">
        <v>604702</v>
      </c>
      <c r="F92" s="2">
        <f t="shared" si="2"/>
        <v>4942</v>
      </c>
      <c r="G92" s="3">
        <f t="shared" si="3"/>
        <v>0.81726205635172366</v>
      </c>
      <c r="H92" s="2">
        <v>23.435841125050029</v>
      </c>
      <c r="I92" s="2">
        <v>44501</v>
      </c>
    </row>
    <row r="93" spans="1:9" ht="14.25" customHeight="1" x14ac:dyDescent="0.35">
      <c r="A93" s="1" t="s">
        <v>53</v>
      </c>
      <c r="B93" s="2" t="s">
        <v>11</v>
      </c>
      <c r="C93" s="2">
        <v>1671</v>
      </c>
      <c r="D93" s="2">
        <v>202</v>
      </c>
      <c r="E93" s="2">
        <v>606171</v>
      </c>
      <c r="F93" s="2">
        <f t="shared" si="2"/>
        <v>1469</v>
      </c>
      <c r="G93" s="3">
        <f t="shared" si="3"/>
        <v>0.24234085761278581</v>
      </c>
      <c r="H93" s="2">
        <v>15.150015424690389</v>
      </c>
      <c r="I93" s="2">
        <v>40254</v>
      </c>
    </row>
    <row r="94" spans="1:9" ht="14.25" customHeight="1" x14ac:dyDescent="0.35">
      <c r="A94" s="1" t="s">
        <v>54</v>
      </c>
      <c r="B94" s="2" t="s">
        <v>11</v>
      </c>
      <c r="C94" s="2">
        <v>1163</v>
      </c>
      <c r="D94" s="2">
        <v>146</v>
      </c>
      <c r="E94" s="2">
        <v>607188</v>
      </c>
      <c r="F94" s="2">
        <f t="shared" si="2"/>
        <v>1017</v>
      </c>
      <c r="G94" s="3">
        <f t="shared" si="3"/>
        <v>0.16749342872388781</v>
      </c>
      <c r="H94" s="2">
        <v>21.77776899411715</v>
      </c>
      <c r="I94" s="2">
        <v>28509</v>
      </c>
    </row>
    <row r="95" spans="1:9" ht="14.25" customHeight="1" x14ac:dyDescent="0.35">
      <c r="A95" s="1" t="s">
        <v>54</v>
      </c>
      <c r="B95" s="2" t="s">
        <v>11</v>
      </c>
      <c r="C95" s="2">
        <v>9656</v>
      </c>
      <c r="D95" s="2">
        <v>1024</v>
      </c>
      <c r="E95" s="2">
        <v>615820</v>
      </c>
      <c r="F95" s="2">
        <f t="shared" si="2"/>
        <v>8632</v>
      </c>
      <c r="G95" s="3">
        <f t="shared" si="3"/>
        <v>1.4017082913838459</v>
      </c>
      <c r="H95" s="2">
        <v>8.7252768666168681</v>
      </c>
      <c r="I95" s="2">
        <v>58998</v>
      </c>
    </row>
    <row r="96" spans="1:9" ht="14.25" customHeight="1" x14ac:dyDescent="0.35">
      <c r="A96" s="1" t="s">
        <v>54</v>
      </c>
      <c r="B96" s="2" t="s">
        <v>32</v>
      </c>
      <c r="C96" s="2">
        <v>5592</v>
      </c>
      <c r="D96" s="2">
        <v>710</v>
      </c>
      <c r="E96" s="2">
        <v>620702</v>
      </c>
      <c r="F96" s="2">
        <f t="shared" si="2"/>
        <v>4882</v>
      </c>
      <c r="G96" s="3">
        <f t="shared" si="3"/>
        <v>0.78652880126050839</v>
      </c>
      <c r="H96" s="2">
        <v>9.07118069540617</v>
      </c>
      <c r="I96" s="2">
        <v>24472</v>
      </c>
    </row>
    <row r="97" spans="1:9" ht="14.25" customHeight="1" x14ac:dyDescent="0.35">
      <c r="A97" s="1" t="s">
        <v>54</v>
      </c>
      <c r="B97" s="2" t="s">
        <v>12</v>
      </c>
      <c r="C97" s="2">
        <v>5795</v>
      </c>
      <c r="D97" s="2">
        <v>575</v>
      </c>
      <c r="E97" s="2">
        <v>625922</v>
      </c>
      <c r="F97" s="2">
        <f t="shared" si="2"/>
        <v>5220</v>
      </c>
      <c r="G97" s="3">
        <f t="shared" si="3"/>
        <v>0.83396972785746459</v>
      </c>
      <c r="H97" s="2">
        <v>3.0908004511744269</v>
      </c>
      <c r="I97" s="2">
        <v>55657</v>
      </c>
    </row>
    <row r="98" spans="1:9" ht="14.25" customHeight="1" x14ac:dyDescent="0.35">
      <c r="A98" s="1" t="s">
        <v>55</v>
      </c>
      <c r="B98" s="2" t="s">
        <v>10</v>
      </c>
      <c r="C98" s="2">
        <v>5798</v>
      </c>
      <c r="D98" s="2">
        <v>592</v>
      </c>
      <c r="E98" s="2">
        <v>631128</v>
      </c>
      <c r="F98" s="2">
        <f t="shared" si="2"/>
        <v>5206</v>
      </c>
      <c r="G98" s="3">
        <f t="shared" si="3"/>
        <v>0.8248722921499283</v>
      </c>
      <c r="H98" s="2">
        <v>1.6774727155188811</v>
      </c>
      <c r="I98" s="2">
        <v>13471</v>
      </c>
    </row>
    <row r="99" spans="1:9" ht="14.25" customHeight="1" x14ac:dyDescent="0.35">
      <c r="A99" s="1" t="s">
        <v>55</v>
      </c>
      <c r="B99" s="2" t="s">
        <v>11</v>
      </c>
      <c r="C99" s="2">
        <v>7036</v>
      </c>
      <c r="D99" s="2">
        <v>652</v>
      </c>
      <c r="E99" s="2">
        <v>637512</v>
      </c>
      <c r="F99" s="2">
        <f t="shared" si="2"/>
        <v>6384</v>
      </c>
      <c r="G99" s="3">
        <f t="shared" si="3"/>
        <v>1.001392914956895</v>
      </c>
      <c r="H99" s="2">
        <v>3.5705994553828009</v>
      </c>
      <c r="I99" s="2">
        <v>51796</v>
      </c>
    </row>
    <row r="100" spans="1:9" ht="14.25" customHeight="1" x14ac:dyDescent="0.35">
      <c r="A100" s="1" t="s">
        <v>55</v>
      </c>
      <c r="B100" s="2" t="s">
        <v>32</v>
      </c>
      <c r="C100" s="2">
        <v>3355</v>
      </c>
      <c r="D100" s="2">
        <v>176</v>
      </c>
      <c r="E100" s="2">
        <v>640691</v>
      </c>
      <c r="F100" s="2">
        <f t="shared" si="2"/>
        <v>3179</v>
      </c>
      <c r="G100" s="3">
        <f t="shared" si="3"/>
        <v>0.49618302738761749</v>
      </c>
      <c r="H100" s="2">
        <v>12.426427091999111</v>
      </c>
      <c r="I100" s="2">
        <v>40268</v>
      </c>
    </row>
    <row r="101" spans="1:9" ht="14.25" customHeight="1" x14ac:dyDescent="0.35">
      <c r="A101" s="1" t="s">
        <v>55</v>
      </c>
      <c r="B101" s="2" t="s">
        <v>32</v>
      </c>
      <c r="C101" s="2">
        <v>6887</v>
      </c>
      <c r="D101" s="2">
        <v>418</v>
      </c>
      <c r="E101" s="2">
        <v>647160</v>
      </c>
      <c r="F101" s="2">
        <f t="shared" si="2"/>
        <v>6469</v>
      </c>
      <c r="G101" s="3">
        <f t="shared" si="3"/>
        <v>0.99959824463811109</v>
      </c>
      <c r="H101" s="2">
        <v>20.240280610668151</v>
      </c>
      <c r="I101" s="2">
        <v>18329</v>
      </c>
    </row>
    <row r="102" spans="1:9" ht="14.25" customHeight="1" x14ac:dyDescent="0.35">
      <c r="A102" s="1" t="s">
        <v>56</v>
      </c>
      <c r="B102" s="2" t="s">
        <v>10</v>
      </c>
      <c r="C102" s="2">
        <v>8961</v>
      </c>
      <c r="D102" s="2">
        <v>476</v>
      </c>
      <c r="E102" s="2">
        <v>655645</v>
      </c>
      <c r="F102" s="2">
        <f t="shared" si="2"/>
        <v>8485</v>
      </c>
      <c r="G102" s="3">
        <f t="shared" si="3"/>
        <v>1.2941454598143811</v>
      </c>
      <c r="H102" s="2">
        <v>15.458517947974901</v>
      </c>
      <c r="I102" s="2">
        <v>44865</v>
      </c>
    </row>
    <row r="103" spans="1:9" ht="14.25" customHeight="1" x14ac:dyDescent="0.35">
      <c r="A103" s="1" t="s">
        <v>56</v>
      </c>
      <c r="B103" s="2" t="s">
        <v>10</v>
      </c>
      <c r="C103" s="2">
        <v>6827</v>
      </c>
      <c r="D103" s="2">
        <v>775</v>
      </c>
      <c r="E103" s="2">
        <v>661697</v>
      </c>
      <c r="F103" s="2">
        <f t="shared" si="2"/>
        <v>6052</v>
      </c>
      <c r="G103" s="3">
        <f t="shared" si="3"/>
        <v>0.914618020030316</v>
      </c>
      <c r="H103" s="2">
        <v>15.96622018839439</v>
      </c>
      <c r="I103" s="2">
        <v>56850</v>
      </c>
    </row>
    <row r="104" spans="1:9" ht="14.25" customHeight="1" x14ac:dyDescent="0.35">
      <c r="A104" s="1" t="s">
        <v>56</v>
      </c>
      <c r="B104" s="2" t="s">
        <v>32</v>
      </c>
      <c r="C104" s="2">
        <v>9737</v>
      </c>
      <c r="D104" s="2">
        <v>792</v>
      </c>
      <c r="E104" s="2">
        <v>670642</v>
      </c>
      <c r="F104" s="2">
        <f t="shared" si="2"/>
        <v>8945</v>
      </c>
      <c r="G104" s="3">
        <f t="shared" si="3"/>
        <v>1.3337965710468476</v>
      </c>
      <c r="H104" s="2">
        <v>5.301785453341723</v>
      </c>
      <c r="I104" s="2">
        <v>56698</v>
      </c>
    </row>
    <row r="105" spans="1:9" ht="14.25" customHeight="1" x14ac:dyDescent="0.35">
      <c r="A105" s="1" t="s">
        <v>56</v>
      </c>
      <c r="B105" s="2" t="s">
        <v>12</v>
      </c>
      <c r="C105" s="2">
        <v>5719</v>
      </c>
      <c r="D105" s="2">
        <v>576</v>
      </c>
      <c r="E105" s="2">
        <v>675785</v>
      </c>
      <c r="F105" s="2">
        <f t="shared" si="2"/>
        <v>5143</v>
      </c>
      <c r="G105" s="3">
        <f t="shared" si="3"/>
        <v>0.7610408635882715</v>
      </c>
      <c r="H105" s="2">
        <v>10.21656296011305</v>
      </c>
      <c r="I105" s="2">
        <v>38272</v>
      </c>
    </row>
    <row r="106" spans="1:9" ht="14.25" customHeight="1" x14ac:dyDescent="0.35">
      <c r="A106" s="1" t="s">
        <v>57</v>
      </c>
      <c r="B106" s="2" t="s">
        <v>10</v>
      </c>
      <c r="C106" s="2">
        <v>1593</v>
      </c>
      <c r="D106" s="2">
        <v>224</v>
      </c>
      <c r="E106" s="2">
        <v>677154</v>
      </c>
      <c r="F106" s="2">
        <f t="shared" si="2"/>
        <v>1369</v>
      </c>
      <c r="G106" s="3">
        <f t="shared" si="3"/>
        <v>0.20216966893793731</v>
      </c>
      <c r="H106" s="2">
        <v>4.1495730660972248</v>
      </c>
      <c r="I106" s="2">
        <v>52845</v>
      </c>
    </row>
    <row r="107" spans="1:9" ht="14.25" customHeight="1" x14ac:dyDescent="0.35">
      <c r="A107" s="1" t="s">
        <v>57</v>
      </c>
      <c r="B107" s="2" t="s">
        <v>32</v>
      </c>
      <c r="C107" s="2">
        <v>5839</v>
      </c>
      <c r="D107" s="2">
        <v>437</v>
      </c>
      <c r="E107" s="2">
        <v>682556</v>
      </c>
      <c r="F107" s="2">
        <f t="shared" si="2"/>
        <v>5402</v>
      </c>
      <c r="G107" s="3">
        <f t="shared" si="3"/>
        <v>0.7914368930900908</v>
      </c>
      <c r="H107" s="2">
        <v>17.44750613869045</v>
      </c>
      <c r="I107" s="2">
        <v>16397</v>
      </c>
    </row>
    <row r="108" spans="1:9" ht="14.25" customHeight="1" x14ac:dyDescent="0.35">
      <c r="A108" s="1" t="s">
        <v>57</v>
      </c>
      <c r="B108" s="2" t="s">
        <v>10</v>
      </c>
      <c r="C108" s="2">
        <v>8394</v>
      </c>
      <c r="D108" s="2">
        <v>764</v>
      </c>
      <c r="E108" s="2">
        <v>690186</v>
      </c>
      <c r="F108" s="2">
        <f t="shared" si="2"/>
        <v>7630</v>
      </c>
      <c r="G108" s="3">
        <f t="shared" si="3"/>
        <v>1.1054990973447738</v>
      </c>
      <c r="H108" s="2">
        <v>6.3556780346167558</v>
      </c>
      <c r="I108" s="2">
        <v>42373</v>
      </c>
    </row>
    <row r="109" spans="1:9" ht="14.25" customHeight="1" x14ac:dyDescent="0.35">
      <c r="A109" s="1" t="s">
        <v>57</v>
      </c>
      <c r="B109" s="2" t="s">
        <v>12</v>
      </c>
      <c r="C109" s="2">
        <v>4493</v>
      </c>
      <c r="D109" s="2">
        <v>564</v>
      </c>
      <c r="E109" s="2">
        <v>694115</v>
      </c>
      <c r="F109" s="2">
        <f t="shared" si="2"/>
        <v>3929</v>
      </c>
      <c r="G109" s="3">
        <f t="shared" si="3"/>
        <v>0.56604453152575585</v>
      </c>
      <c r="H109" s="2">
        <v>16.625487131094989</v>
      </c>
      <c r="I109" s="2">
        <v>45525</v>
      </c>
    </row>
    <row r="110" spans="1:9" ht="14.25" customHeight="1" x14ac:dyDescent="0.35">
      <c r="A110" s="1" t="s">
        <v>58</v>
      </c>
      <c r="B110" s="2" t="s">
        <v>11</v>
      </c>
      <c r="C110" s="2">
        <v>7164</v>
      </c>
      <c r="D110" s="2">
        <v>522</v>
      </c>
      <c r="E110" s="2">
        <v>700757</v>
      </c>
      <c r="F110" s="2">
        <f t="shared" si="2"/>
        <v>6642</v>
      </c>
      <c r="G110" s="3">
        <f t="shared" si="3"/>
        <v>0.94783213011072309</v>
      </c>
      <c r="H110" s="2">
        <v>13.449169969047761</v>
      </c>
      <c r="I110" s="2">
        <v>34570</v>
      </c>
    </row>
    <row r="111" spans="1:9" ht="14.25" customHeight="1" x14ac:dyDescent="0.35">
      <c r="A111" s="1" t="s">
        <v>58</v>
      </c>
      <c r="B111" s="2" t="s">
        <v>10</v>
      </c>
      <c r="C111" s="2">
        <v>3672</v>
      </c>
      <c r="D111" s="2">
        <v>211</v>
      </c>
      <c r="E111" s="2">
        <v>704218</v>
      </c>
      <c r="F111" s="2">
        <f t="shared" si="2"/>
        <v>3461</v>
      </c>
      <c r="G111" s="3">
        <f t="shared" si="3"/>
        <v>0.49146713091684674</v>
      </c>
      <c r="H111" s="2">
        <v>12.35057894004413</v>
      </c>
      <c r="I111" s="2">
        <v>28284</v>
      </c>
    </row>
    <row r="112" spans="1:9" ht="14.25" customHeight="1" x14ac:dyDescent="0.35">
      <c r="A112" s="1" t="s">
        <v>58</v>
      </c>
      <c r="B112" s="2" t="s">
        <v>12</v>
      </c>
      <c r="C112" s="2">
        <v>5200</v>
      </c>
      <c r="D112" s="2">
        <v>410</v>
      </c>
      <c r="E112" s="2">
        <v>709008</v>
      </c>
      <c r="F112" s="2">
        <f t="shared" si="2"/>
        <v>4790</v>
      </c>
      <c r="G112" s="3">
        <f t="shared" si="3"/>
        <v>0.67559181278631553</v>
      </c>
      <c r="H112" s="2">
        <v>12.913394489201821</v>
      </c>
      <c r="I112" s="2">
        <v>28994</v>
      </c>
    </row>
    <row r="113" spans="1:9" ht="14.25" customHeight="1" x14ac:dyDescent="0.35">
      <c r="A113" s="1" t="s">
        <v>58</v>
      </c>
      <c r="B113" s="2" t="s">
        <v>32</v>
      </c>
      <c r="C113" s="2">
        <v>1016</v>
      </c>
      <c r="D113" s="2">
        <v>67</v>
      </c>
      <c r="E113" s="2">
        <v>709957</v>
      </c>
      <c r="F113" s="2">
        <f t="shared" si="2"/>
        <v>949</v>
      </c>
      <c r="G113" s="3">
        <f t="shared" si="3"/>
        <v>0.13367006734210665</v>
      </c>
      <c r="H113" s="2">
        <v>20.774215903216671</v>
      </c>
      <c r="I113" s="2">
        <v>33284</v>
      </c>
    </row>
    <row r="114" spans="1:9" ht="14.25" customHeight="1" x14ac:dyDescent="0.35">
      <c r="A114" s="1" t="s">
        <v>59</v>
      </c>
      <c r="B114" s="2" t="s">
        <v>10</v>
      </c>
      <c r="C114" s="2">
        <v>4191</v>
      </c>
      <c r="D114" s="2">
        <v>599</v>
      </c>
      <c r="E114" s="2">
        <v>713549</v>
      </c>
      <c r="F114" s="2">
        <f t="shared" si="2"/>
        <v>3592</v>
      </c>
      <c r="G114" s="3">
        <f t="shared" si="3"/>
        <v>0.50339920594100762</v>
      </c>
      <c r="H114" s="2">
        <v>11.56416728213479</v>
      </c>
      <c r="I114" s="2">
        <v>27833</v>
      </c>
    </row>
    <row r="115" spans="1:9" ht="14.25" customHeight="1" x14ac:dyDescent="0.35">
      <c r="A115" s="1" t="s">
        <v>59</v>
      </c>
      <c r="B115" s="2" t="s">
        <v>10</v>
      </c>
      <c r="C115" s="2">
        <v>1392</v>
      </c>
      <c r="D115" s="2">
        <v>182</v>
      </c>
      <c r="E115" s="2">
        <v>714759</v>
      </c>
      <c r="F115" s="2">
        <f t="shared" si="2"/>
        <v>1210</v>
      </c>
      <c r="G115" s="3">
        <f t="shared" si="3"/>
        <v>0.16928782988391891</v>
      </c>
      <c r="H115" s="2">
        <v>5.9603306848881932</v>
      </c>
      <c r="I115" s="2">
        <v>35122</v>
      </c>
    </row>
    <row r="116" spans="1:9" ht="14.25" customHeight="1" x14ac:dyDescent="0.35">
      <c r="A116" s="1" t="s">
        <v>59</v>
      </c>
      <c r="B116" s="2" t="s">
        <v>32</v>
      </c>
      <c r="C116" s="2">
        <v>9616</v>
      </c>
      <c r="D116" s="2">
        <v>1089</v>
      </c>
      <c r="E116" s="2">
        <v>723286</v>
      </c>
      <c r="F116" s="2">
        <f t="shared" si="2"/>
        <v>8527</v>
      </c>
      <c r="G116" s="3">
        <f t="shared" si="3"/>
        <v>1.1789250725162661</v>
      </c>
      <c r="H116" s="2">
        <v>19.25863351426683</v>
      </c>
      <c r="I116" s="2">
        <v>15017</v>
      </c>
    </row>
    <row r="117" spans="1:9" ht="14.25" customHeight="1" x14ac:dyDescent="0.35">
      <c r="A117" s="1" t="s">
        <v>59</v>
      </c>
      <c r="B117" s="2" t="s">
        <v>11</v>
      </c>
      <c r="C117" s="2">
        <v>7272</v>
      </c>
      <c r="D117" s="2">
        <v>997</v>
      </c>
      <c r="E117" s="2">
        <v>729561</v>
      </c>
      <c r="F117" s="2">
        <f t="shared" si="2"/>
        <v>6275</v>
      </c>
      <c r="G117" s="3">
        <f t="shared" si="3"/>
        <v>0.86010628309353165</v>
      </c>
      <c r="H117" s="2">
        <v>13.428486445958599</v>
      </c>
      <c r="I117" s="2">
        <v>26370</v>
      </c>
    </row>
    <row r="118" spans="1:9" ht="14.25" customHeight="1" x14ac:dyDescent="0.35">
      <c r="A118" s="1" t="s">
        <v>60</v>
      </c>
      <c r="B118" s="2" t="s">
        <v>32</v>
      </c>
      <c r="C118" s="2">
        <v>1571</v>
      </c>
      <c r="D118" s="2">
        <v>204</v>
      </c>
      <c r="E118" s="2">
        <v>730928</v>
      </c>
      <c r="F118" s="2">
        <f t="shared" si="2"/>
        <v>1367</v>
      </c>
      <c r="G118" s="3">
        <f t="shared" si="3"/>
        <v>0.18702252479040343</v>
      </c>
      <c r="H118" s="2">
        <v>19.449384891535139</v>
      </c>
      <c r="I118" s="2">
        <v>39252</v>
      </c>
    </row>
    <row r="119" spans="1:9" ht="14.25" customHeight="1" x14ac:dyDescent="0.35">
      <c r="A119" s="1" t="s">
        <v>60</v>
      </c>
      <c r="B119" s="2" t="s">
        <v>10</v>
      </c>
      <c r="C119" s="2">
        <v>4631</v>
      </c>
      <c r="D119" s="2">
        <v>317</v>
      </c>
      <c r="E119" s="2">
        <v>735242</v>
      </c>
      <c r="F119" s="2">
        <f t="shared" si="2"/>
        <v>4314</v>
      </c>
      <c r="G119" s="3">
        <f t="shared" si="3"/>
        <v>0.58674558852731484</v>
      </c>
      <c r="H119" s="2">
        <v>1.381177897889402</v>
      </c>
      <c r="I119" s="2">
        <v>17999</v>
      </c>
    </row>
    <row r="120" spans="1:9" ht="14.25" customHeight="1" x14ac:dyDescent="0.35">
      <c r="A120" s="1" t="s">
        <v>60</v>
      </c>
      <c r="B120" s="2" t="s">
        <v>32</v>
      </c>
      <c r="C120" s="2">
        <v>7172</v>
      </c>
      <c r="D120" s="2">
        <v>998</v>
      </c>
      <c r="E120" s="2">
        <v>741416</v>
      </c>
      <c r="F120" s="2">
        <f t="shared" si="2"/>
        <v>6174</v>
      </c>
      <c r="G120" s="3">
        <f t="shared" si="3"/>
        <v>0.83273088252748795</v>
      </c>
      <c r="H120" s="2">
        <v>18.0667803230575</v>
      </c>
      <c r="I120" s="2">
        <v>32436</v>
      </c>
    </row>
    <row r="121" spans="1:9" ht="14.25" customHeight="1" x14ac:dyDescent="0.35">
      <c r="A121" s="1" t="s">
        <v>60</v>
      </c>
      <c r="B121" s="2" t="s">
        <v>12</v>
      </c>
      <c r="C121" s="2">
        <v>8177</v>
      </c>
      <c r="D121" s="2">
        <v>849</v>
      </c>
      <c r="E121" s="2">
        <v>748744</v>
      </c>
      <c r="F121" s="2">
        <f t="shared" si="2"/>
        <v>7328</v>
      </c>
      <c r="G121" s="3">
        <f t="shared" si="3"/>
        <v>0.97870567243276752</v>
      </c>
      <c r="H121" s="2">
        <v>10.34986590877523</v>
      </c>
      <c r="I121" s="2">
        <v>52963</v>
      </c>
    </row>
    <row r="122" spans="1:9" ht="14.25" customHeight="1" x14ac:dyDescent="0.35">
      <c r="A122" s="1" t="s">
        <v>61</v>
      </c>
      <c r="B122" s="2" t="s">
        <v>32</v>
      </c>
      <c r="C122" s="2">
        <v>9433</v>
      </c>
      <c r="D122" s="2">
        <v>1233</v>
      </c>
      <c r="E122" s="2">
        <v>756944</v>
      </c>
      <c r="F122" s="2">
        <f t="shared" si="2"/>
        <v>8200</v>
      </c>
      <c r="G122" s="3">
        <f t="shared" si="3"/>
        <v>1.0833033883616225</v>
      </c>
      <c r="H122" s="2">
        <v>11.391727789638329</v>
      </c>
      <c r="I122" s="2">
        <v>12096</v>
      </c>
    </row>
    <row r="123" spans="1:9" ht="14.25" customHeight="1" x14ac:dyDescent="0.35">
      <c r="A123" s="1" t="s">
        <v>61</v>
      </c>
      <c r="B123" s="2" t="s">
        <v>10</v>
      </c>
      <c r="C123" s="2">
        <v>4897</v>
      </c>
      <c r="D123" s="2">
        <v>683</v>
      </c>
      <c r="E123" s="2">
        <v>761158</v>
      </c>
      <c r="F123" s="2">
        <f t="shared" si="2"/>
        <v>4214</v>
      </c>
      <c r="G123" s="3">
        <f t="shared" si="3"/>
        <v>0.55363012672795919</v>
      </c>
      <c r="H123" s="2">
        <v>15.06231294947961</v>
      </c>
      <c r="I123" s="2">
        <v>58201</v>
      </c>
    </row>
    <row r="124" spans="1:9" ht="14.25" customHeight="1" x14ac:dyDescent="0.35">
      <c r="A124" s="1" t="s">
        <v>61</v>
      </c>
      <c r="B124" s="2" t="s">
        <v>32</v>
      </c>
      <c r="C124" s="2">
        <v>9123</v>
      </c>
      <c r="D124" s="2">
        <v>746</v>
      </c>
      <c r="E124" s="2">
        <v>769535</v>
      </c>
      <c r="F124" s="2">
        <f t="shared" si="2"/>
        <v>8377</v>
      </c>
      <c r="G124" s="3">
        <f t="shared" si="3"/>
        <v>1.0885794668208724</v>
      </c>
      <c r="H124" s="2">
        <v>6.3086149427901264</v>
      </c>
      <c r="I124" s="2">
        <v>35279</v>
      </c>
    </row>
    <row r="125" spans="1:9" ht="14.25" customHeight="1" x14ac:dyDescent="0.35">
      <c r="A125" s="1" t="s">
        <v>61</v>
      </c>
      <c r="B125" s="2" t="s">
        <v>11</v>
      </c>
      <c r="C125" s="2">
        <v>3279</v>
      </c>
      <c r="D125" s="2">
        <v>200</v>
      </c>
      <c r="E125" s="2">
        <v>772614</v>
      </c>
      <c r="F125" s="2">
        <f t="shared" si="2"/>
        <v>3079</v>
      </c>
      <c r="G125" s="3">
        <f t="shared" si="3"/>
        <v>0.39851724146857287</v>
      </c>
      <c r="H125" s="2">
        <v>5.0212654702089274</v>
      </c>
      <c r="I125" s="2">
        <v>53363</v>
      </c>
    </row>
    <row r="126" spans="1:9" ht="14.25" customHeight="1" x14ac:dyDescent="0.35">
      <c r="A126" s="1" t="s">
        <v>62</v>
      </c>
      <c r="B126" s="2" t="s">
        <v>32</v>
      </c>
      <c r="C126" s="2">
        <v>9980</v>
      </c>
      <c r="D126" s="2">
        <v>726</v>
      </c>
      <c r="E126" s="2">
        <v>781868</v>
      </c>
      <c r="F126" s="2">
        <f t="shared" si="2"/>
        <v>9254</v>
      </c>
      <c r="G126" s="3">
        <f t="shared" si="3"/>
        <v>1.1835757442432739</v>
      </c>
      <c r="H126" s="2">
        <v>4.0220344099003924</v>
      </c>
      <c r="I126" s="2">
        <v>58709</v>
      </c>
    </row>
    <row r="127" spans="1:9" ht="14.25" customHeight="1" x14ac:dyDescent="0.35">
      <c r="A127" s="1" t="s">
        <v>62</v>
      </c>
      <c r="B127" s="2" t="s">
        <v>11</v>
      </c>
      <c r="C127" s="2">
        <v>8451</v>
      </c>
      <c r="D127" s="2">
        <v>783</v>
      </c>
      <c r="E127" s="2">
        <v>789536</v>
      </c>
      <c r="F127" s="2">
        <f t="shared" si="2"/>
        <v>7668</v>
      </c>
      <c r="G127" s="3">
        <f t="shared" si="3"/>
        <v>0.97120333968305439</v>
      </c>
      <c r="H127" s="2">
        <v>12.407287318121019</v>
      </c>
      <c r="I127" s="2">
        <v>36201</v>
      </c>
    </row>
    <row r="128" spans="1:9" ht="14.25" customHeight="1" x14ac:dyDescent="0.35">
      <c r="A128" s="1" t="s">
        <v>62</v>
      </c>
      <c r="B128" s="2" t="s">
        <v>12</v>
      </c>
      <c r="C128" s="2">
        <v>9906</v>
      </c>
      <c r="D128" s="2">
        <v>1305</v>
      </c>
      <c r="E128" s="2">
        <v>798137</v>
      </c>
      <c r="F128" s="2">
        <f t="shared" si="2"/>
        <v>8601</v>
      </c>
      <c r="G128" s="3">
        <f t="shared" si="3"/>
        <v>1.0776345414383746</v>
      </c>
      <c r="H128" s="2">
        <v>9.1811305577864442</v>
      </c>
      <c r="I128" s="2">
        <v>29715</v>
      </c>
    </row>
    <row r="129" spans="1:9" ht="14.25" customHeight="1" x14ac:dyDescent="0.35">
      <c r="A129" s="1" t="s">
        <v>62</v>
      </c>
      <c r="B129" s="2" t="s">
        <v>11</v>
      </c>
      <c r="C129" s="2">
        <v>1775</v>
      </c>
      <c r="D129" s="2">
        <v>241</v>
      </c>
      <c r="E129" s="2">
        <v>799671</v>
      </c>
      <c r="F129" s="2">
        <f t="shared" si="2"/>
        <v>1534</v>
      </c>
      <c r="G129" s="3">
        <f t="shared" si="3"/>
        <v>0.1918288896308607</v>
      </c>
      <c r="H129" s="2">
        <v>8.1379717408784362</v>
      </c>
      <c r="I129" s="2">
        <v>39309</v>
      </c>
    </row>
    <row r="130" spans="1:9" ht="14.25" customHeight="1" x14ac:dyDescent="0.35">
      <c r="A130" s="1" t="s">
        <v>63</v>
      </c>
      <c r="B130" s="2" t="s">
        <v>32</v>
      </c>
      <c r="C130" s="2">
        <v>7869</v>
      </c>
      <c r="D130" s="2">
        <v>398</v>
      </c>
      <c r="E130" s="2">
        <v>807142</v>
      </c>
      <c r="F130" s="2">
        <f t="shared" si="2"/>
        <v>7471</v>
      </c>
      <c r="G130" s="3">
        <f t="shared" si="3"/>
        <v>0.92561160241940077</v>
      </c>
      <c r="H130" s="2">
        <v>15.211945357818079</v>
      </c>
      <c r="I130" s="2">
        <v>25078</v>
      </c>
    </row>
    <row r="131" spans="1:9" ht="14.25" customHeight="1" x14ac:dyDescent="0.35">
      <c r="A131" s="1" t="s">
        <v>63</v>
      </c>
      <c r="B131" s="2" t="s">
        <v>10</v>
      </c>
      <c r="C131" s="2">
        <v>3247</v>
      </c>
      <c r="D131" s="2">
        <v>328</v>
      </c>
      <c r="E131" s="2">
        <v>810061</v>
      </c>
      <c r="F131" s="2">
        <f t="shared" ref="F131:F194" si="4">C131-D131</f>
        <v>2919</v>
      </c>
      <c r="G131" s="3">
        <f t="shared" ref="G131:G194" si="5">(F131/E131)*100</f>
        <v>0.36034323341081725</v>
      </c>
      <c r="H131" s="2">
        <v>13.941172331466399</v>
      </c>
      <c r="I131" s="2">
        <v>15105</v>
      </c>
    </row>
    <row r="132" spans="1:9" ht="14.25" customHeight="1" x14ac:dyDescent="0.35">
      <c r="A132" s="1" t="s">
        <v>63</v>
      </c>
      <c r="B132" s="2" t="s">
        <v>11</v>
      </c>
      <c r="C132" s="2">
        <v>8088</v>
      </c>
      <c r="D132" s="2">
        <v>742</v>
      </c>
      <c r="E132" s="2">
        <v>817407</v>
      </c>
      <c r="F132" s="2">
        <f t="shared" si="4"/>
        <v>7346</v>
      </c>
      <c r="G132" s="3">
        <f t="shared" si="5"/>
        <v>0.89869550909155416</v>
      </c>
      <c r="H132" s="2">
        <v>14.664542877660701</v>
      </c>
      <c r="I132" s="2">
        <v>39312</v>
      </c>
    </row>
    <row r="133" spans="1:9" ht="14.25" customHeight="1" x14ac:dyDescent="0.35">
      <c r="A133" s="1" t="s">
        <v>63</v>
      </c>
      <c r="B133" s="2" t="s">
        <v>12</v>
      </c>
      <c r="C133" s="2">
        <v>1078</v>
      </c>
      <c r="D133" s="2">
        <v>77</v>
      </c>
      <c r="E133" s="2">
        <v>818408</v>
      </c>
      <c r="F133" s="2">
        <f t="shared" si="4"/>
        <v>1001</v>
      </c>
      <c r="G133" s="3">
        <f t="shared" si="5"/>
        <v>0.12231063234963489</v>
      </c>
      <c r="H133" s="2">
        <v>18.236747441373989</v>
      </c>
      <c r="I133" s="2">
        <v>12839</v>
      </c>
    </row>
    <row r="134" spans="1:9" ht="14.25" customHeight="1" x14ac:dyDescent="0.35">
      <c r="A134" s="1" t="s">
        <v>64</v>
      </c>
      <c r="B134" s="2" t="s">
        <v>11</v>
      </c>
      <c r="C134" s="2">
        <v>9080</v>
      </c>
      <c r="D134" s="2">
        <v>562</v>
      </c>
      <c r="E134" s="2">
        <v>826926</v>
      </c>
      <c r="F134" s="2">
        <f t="shared" si="4"/>
        <v>8518</v>
      </c>
      <c r="G134" s="3">
        <f t="shared" si="5"/>
        <v>1.0300800797169276</v>
      </c>
      <c r="H134" s="2">
        <v>7.1083748727213809</v>
      </c>
      <c r="I134" s="2">
        <v>13384</v>
      </c>
    </row>
    <row r="135" spans="1:9" ht="14.25" customHeight="1" x14ac:dyDescent="0.35">
      <c r="A135" s="1" t="s">
        <v>64</v>
      </c>
      <c r="B135" s="2" t="s">
        <v>11</v>
      </c>
      <c r="C135" s="2">
        <v>8099</v>
      </c>
      <c r="D135" s="2">
        <v>678</v>
      </c>
      <c r="E135" s="2">
        <v>834347</v>
      </c>
      <c r="F135" s="2">
        <f t="shared" si="4"/>
        <v>7421</v>
      </c>
      <c r="G135" s="3">
        <f t="shared" si="5"/>
        <v>0.88943808751035247</v>
      </c>
      <c r="H135" s="2">
        <v>7.6464588474579518</v>
      </c>
      <c r="I135" s="2">
        <v>53619</v>
      </c>
    </row>
    <row r="136" spans="1:9" ht="14.25" customHeight="1" x14ac:dyDescent="0.35">
      <c r="A136" s="1" t="s">
        <v>64</v>
      </c>
      <c r="B136" s="2" t="s">
        <v>11</v>
      </c>
      <c r="C136" s="2">
        <v>4926</v>
      </c>
      <c r="D136" s="2">
        <v>710</v>
      </c>
      <c r="E136" s="2">
        <v>838563</v>
      </c>
      <c r="F136" s="2">
        <f t="shared" si="4"/>
        <v>4216</v>
      </c>
      <c r="G136" s="3">
        <f t="shared" si="5"/>
        <v>0.50276484891415429</v>
      </c>
      <c r="H136" s="2">
        <v>12.96217457722318</v>
      </c>
      <c r="I136" s="2">
        <v>52821</v>
      </c>
    </row>
    <row r="137" spans="1:9" ht="14.25" customHeight="1" x14ac:dyDescent="0.35">
      <c r="A137" s="1" t="s">
        <v>64</v>
      </c>
      <c r="B137" s="2" t="s">
        <v>12</v>
      </c>
      <c r="C137" s="2">
        <v>8340</v>
      </c>
      <c r="D137" s="2">
        <v>686</v>
      </c>
      <c r="E137" s="2">
        <v>846217</v>
      </c>
      <c r="F137" s="2">
        <f t="shared" si="4"/>
        <v>7654</v>
      </c>
      <c r="G137" s="3">
        <f t="shared" si="5"/>
        <v>0.90449612806171464</v>
      </c>
      <c r="H137" s="2">
        <v>7.201344336027284</v>
      </c>
      <c r="I137" s="2">
        <v>23493</v>
      </c>
    </row>
    <row r="138" spans="1:9" ht="14.25" customHeight="1" x14ac:dyDescent="0.35">
      <c r="A138" s="1" t="s">
        <v>65</v>
      </c>
      <c r="B138" s="2" t="s">
        <v>32</v>
      </c>
      <c r="C138" s="2">
        <v>8083</v>
      </c>
      <c r="D138" s="2">
        <v>823</v>
      </c>
      <c r="E138" s="2">
        <v>853477</v>
      </c>
      <c r="F138" s="2">
        <f t="shared" si="4"/>
        <v>7260</v>
      </c>
      <c r="G138" s="3">
        <f t="shared" si="5"/>
        <v>0.8506380371117207</v>
      </c>
      <c r="H138" s="2">
        <v>4.6300017457998282</v>
      </c>
      <c r="I138" s="2">
        <v>27069</v>
      </c>
    </row>
    <row r="139" spans="1:9" ht="14.25" customHeight="1" x14ac:dyDescent="0.35">
      <c r="A139" s="1" t="s">
        <v>65</v>
      </c>
      <c r="B139" s="2" t="s">
        <v>11</v>
      </c>
      <c r="C139" s="2">
        <v>7230</v>
      </c>
      <c r="D139" s="2">
        <v>869</v>
      </c>
      <c r="E139" s="2">
        <v>859838</v>
      </c>
      <c r="F139" s="2">
        <f t="shared" si="4"/>
        <v>6361</v>
      </c>
      <c r="G139" s="3">
        <f t="shared" si="5"/>
        <v>0.73979051867909995</v>
      </c>
      <c r="H139" s="2">
        <v>7.0117859410726204</v>
      </c>
      <c r="I139" s="2">
        <v>56907</v>
      </c>
    </row>
    <row r="140" spans="1:9" ht="14.25" customHeight="1" x14ac:dyDescent="0.35">
      <c r="A140" s="1" t="s">
        <v>65</v>
      </c>
      <c r="B140" s="2" t="s">
        <v>11</v>
      </c>
      <c r="C140" s="2">
        <v>5940</v>
      </c>
      <c r="D140" s="2">
        <v>512</v>
      </c>
      <c r="E140" s="2">
        <v>865266</v>
      </c>
      <c r="F140" s="2">
        <f t="shared" si="4"/>
        <v>5428</v>
      </c>
      <c r="G140" s="3">
        <f t="shared" si="5"/>
        <v>0.62732154042803023</v>
      </c>
      <c r="H140" s="2">
        <v>15.7972230504839</v>
      </c>
      <c r="I140" s="2">
        <v>17531</v>
      </c>
    </row>
    <row r="141" spans="1:9" ht="14.25" customHeight="1" x14ac:dyDescent="0.35">
      <c r="A141" s="1" t="s">
        <v>65</v>
      </c>
      <c r="B141" s="2" t="s">
        <v>10</v>
      </c>
      <c r="C141" s="2">
        <v>4271</v>
      </c>
      <c r="D141" s="2">
        <v>628</v>
      </c>
      <c r="E141" s="2">
        <v>868909</v>
      </c>
      <c r="F141" s="2">
        <f t="shared" si="4"/>
        <v>3643</v>
      </c>
      <c r="G141" s="3">
        <f t="shared" si="5"/>
        <v>0.41926139561219877</v>
      </c>
      <c r="H141" s="2">
        <v>11.124410036033691</v>
      </c>
      <c r="I141" s="2">
        <v>47051</v>
      </c>
    </row>
    <row r="142" spans="1:9" ht="14.25" customHeight="1" x14ac:dyDescent="0.35">
      <c r="A142" s="1" t="s">
        <v>66</v>
      </c>
      <c r="B142" s="2" t="s">
        <v>12</v>
      </c>
      <c r="C142" s="2">
        <v>4456</v>
      </c>
      <c r="D142" s="2">
        <v>651</v>
      </c>
      <c r="E142" s="2">
        <v>872714</v>
      </c>
      <c r="F142" s="2">
        <f t="shared" si="4"/>
        <v>3805</v>
      </c>
      <c r="G142" s="3">
        <f t="shared" si="5"/>
        <v>0.43599621410908962</v>
      </c>
      <c r="H142" s="2">
        <v>9.5052903929580594</v>
      </c>
      <c r="I142" s="2">
        <v>17736</v>
      </c>
    </row>
    <row r="143" spans="1:9" ht="14.25" customHeight="1" x14ac:dyDescent="0.35">
      <c r="A143" s="1" t="s">
        <v>66</v>
      </c>
      <c r="B143" s="2" t="s">
        <v>11</v>
      </c>
      <c r="C143" s="2">
        <v>8788</v>
      </c>
      <c r="D143" s="2">
        <v>660</v>
      </c>
      <c r="E143" s="2">
        <v>880842</v>
      </c>
      <c r="F143" s="2">
        <f t="shared" si="4"/>
        <v>8128</v>
      </c>
      <c r="G143" s="3">
        <f t="shared" si="5"/>
        <v>0.92275345635199046</v>
      </c>
      <c r="H143" s="2">
        <v>3.7175793161543158</v>
      </c>
      <c r="I143" s="2">
        <v>17710</v>
      </c>
    </row>
    <row r="144" spans="1:9" ht="14.25" customHeight="1" x14ac:dyDescent="0.35">
      <c r="A144" s="1" t="s">
        <v>66</v>
      </c>
      <c r="B144" s="2" t="s">
        <v>12</v>
      </c>
      <c r="C144" s="2">
        <v>9599</v>
      </c>
      <c r="D144" s="2">
        <v>957</v>
      </c>
      <c r="E144" s="2">
        <v>889484</v>
      </c>
      <c r="F144" s="2">
        <f t="shared" si="4"/>
        <v>8642</v>
      </c>
      <c r="G144" s="3">
        <f t="shared" si="5"/>
        <v>0.97157453085159484</v>
      </c>
      <c r="H144" s="2">
        <v>8.768004820772493</v>
      </c>
      <c r="I144" s="2">
        <v>11619</v>
      </c>
    </row>
    <row r="145" spans="1:9" ht="14.25" customHeight="1" x14ac:dyDescent="0.35">
      <c r="A145" s="1" t="s">
        <v>66</v>
      </c>
      <c r="B145" s="2" t="s">
        <v>11</v>
      </c>
      <c r="C145" s="2">
        <v>8650</v>
      </c>
      <c r="D145" s="2">
        <v>692</v>
      </c>
      <c r="E145" s="2">
        <v>897442</v>
      </c>
      <c r="F145" s="2">
        <f t="shared" si="4"/>
        <v>7958</v>
      </c>
      <c r="G145" s="3">
        <f t="shared" si="5"/>
        <v>0.88674254157928867</v>
      </c>
      <c r="H145" s="2">
        <v>7.6673478620345374</v>
      </c>
      <c r="I145" s="2">
        <v>23975</v>
      </c>
    </row>
    <row r="146" spans="1:9" ht="14.25" customHeight="1" x14ac:dyDescent="0.35">
      <c r="A146" s="1" t="s">
        <v>67</v>
      </c>
      <c r="B146" s="2" t="s">
        <v>32</v>
      </c>
      <c r="C146" s="2">
        <v>3711</v>
      </c>
      <c r="D146" s="2">
        <v>291</v>
      </c>
      <c r="E146" s="2">
        <v>900862</v>
      </c>
      <c r="F146" s="2">
        <f t="shared" si="4"/>
        <v>3420</v>
      </c>
      <c r="G146" s="3">
        <f t="shared" si="5"/>
        <v>0.37963639269943678</v>
      </c>
      <c r="H146" s="2">
        <v>14.24879726306582</v>
      </c>
      <c r="I146" s="2">
        <v>55603</v>
      </c>
    </row>
    <row r="147" spans="1:9" ht="14.25" customHeight="1" x14ac:dyDescent="0.35">
      <c r="A147" s="1" t="s">
        <v>67</v>
      </c>
      <c r="B147" s="2" t="s">
        <v>32</v>
      </c>
      <c r="C147" s="2">
        <v>2668</v>
      </c>
      <c r="D147" s="2">
        <v>143</v>
      </c>
      <c r="E147" s="2">
        <v>903387</v>
      </c>
      <c r="F147" s="2">
        <f t="shared" si="4"/>
        <v>2525</v>
      </c>
      <c r="G147" s="3">
        <f t="shared" si="5"/>
        <v>0.27950369000218067</v>
      </c>
      <c r="H147" s="2">
        <v>15.903372530266649</v>
      </c>
      <c r="I147" s="2">
        <v>33252</v>
      </c>
    </row>
    <row r="148" spans="1:9" ht="14.25" customHeight="1" x14ac:dyDescent="0.35">
      <c r="A148" s="1" t="s">
        <v>67</v>
      </c>
      <c r="B148" s="2" t="s">
        <v>11</v>
      </c>
      <c r="C148" s="2">
        <v>1147</v>
      </c>
      <c r="D148" s="2">
        <v>127</v>
      </c>
      <c r="E148" s="2">
        <v>904407</v>
      </c>
      <c r="F148" s="2">
        <f t="shared" si="4"/>
        <v>1020</v>
      </c>
      <c r="G148" s="3">
        <f t="shared" si="5"/>
        <v>0.11278108196862695</v>
      </c>
      <c r="H148" s="2">
        <v>1.3997016829812241</v>
      </c>
      <c r="I148" s="2">
        <v>25261</v>
      </c>
    </row>
    <row r="149" spans="1:9" ht="14.25" customHeight="1" x14ac:dyDescent="0.35">
      <c r="A149" s="1" t="s">
        <v>67</v>
      </c>
      <c r="B149" s="2" t="s">
        <v>32</v>
      </c>
      <c r="C149" s="2">
        <v>7420</v>
      </c>
      <c r="D149" s="2">
        <v>743</v>
      </c>
      <c r="E149" s="2">
        <v>911084</v>
      </c>
      <c r="F149" s="2">
        <f t="shared" si="4"/>
        <v>6677</v>
      </c>
      <c r="G149" s="3">
        <f t="shared" si="5"/>
        <v>0.73286327056561196</v>
      </c>
      <c r="H149" s="2">
        <v>10.593534734448189</v>
      </c>
      <c r="I149" s="2">
        <v>11431</v>
      </c>
    </row>
    <row r="150" spans="1:9" ht="14.25" customHeight="1" x14ac:dyDescent="0.35">
      <c r="A150" s="1" t="s">
        <v>68</v>
      </c>
      <c r="B150" s="2" t="s">
        <v>11</v>
      </c>
      <c r="C150" s="2">
        <v>1365</v>
      </c>
      <c r="D150" s="2">
        <v>75</v>
      </c>
      <c r="E150" s="2">
        <v>912374</v>
      </c>
      <c r="F150" s="2">
        <f t="shared" si="4"/>
        <v>1290</v>
      </c>
      <c r="G150" s="3">
        <f t="shared" si="5"/>
        <v>0.14138938637006315</v>
      </c>
      <c r="H150" s="2">
        <v>9.2688963078737441</v>
      </c>
      <c r="I150" s="2">
        <v>19067</v>
      </c>
    </row>
    <row r="151" spans="1:9" ht="14.25" customHeight="1" x14ac:dyDescent="0.35">
      <c r="A151" s="1" t="s">
        <v>68</v>
      </c>
      <c r="B151" s="2" t="s">
        <v>32</v>
      </c>
      <c r="C151" s="2">
        <v>5531</v>
      </c>
      <c r="D151" s="2">
        <v>430</v>
      </c>
      <c r="E151" s="2">
        <v>917475</v>
      </c>
      <c r="F151" s="2">
        <f t="shared" si="4"/>
        <v>5101</v>
      </c>
      <c r="G151" s="3">
        <f t="shared" si="5"/>
        <v>0.55598245183792472</v>
      </c>
      <c r="H151" s="2">
        <v>2.7289026948963189</v>
      </c>
      <c r="I151" s="2">
        <v>47481</v>
      </c>
    </row>
    <row r="152" spans="1:9" ht="14.25" customHeight="1" x14ac:dyDescent="0.35">
      <c r="A152" s="1" t="s">
        <v>68</v>
      </c>
      <c r="B152" s="2" t="s">
        <v>10</v>
      </c>
      <c r="C152" s="2">
        <v>6330</v>
      </c>
      <c r="D152" s="2">
        <v>891</v>
      </c>
      <c r="E152" s="2">
        <v>922914</v>
      </c>
      <c r="F152" s="2">
        <f t="shared" si="4"/>
        <v>5439</v>
      </c>
      <c r="G152" s="3">
        <f t="shared" si="5"/>
        <v>0.58932901657142489</v>
      </c>
      <c r="H152" s="2">
        <v>14.789893749580139</v>
      </c>
      <c r="I152" s="2">
        <v>37037</v>
      </c>
    </row>
    <row r="153" spans="1:9" ht="14.25" customHeight="1" x14ac:dyDescent="0.35">
      <c r="A153" s="1" t="s">
        <v>68</v>
      </c>
      <c r="B153" s="2" t="s">
        <v>10</v>
      </c>
      <c r="C153" s="2">
        <v>6510</v>
      </c>
      <c r="D153" s="2">
        <v>481</v>
      </c>
      <c r="E153" s="2">
        <v>928943</v>
      </c>
      <c r="F153" s="2">
        <f t="shared" si="4"/>
        <v>6029</v>
      </c>
      <c r="G153" s="3">
        <f t="shared" si="5"/>
        <v>0.64901721634158394</v>
      </c>
      <c r="H153" s="2">
        <v>2.3800168578696428</v>
      </c>
      <c r="I153" s="2">
        <v>19557</v>
      </c>
    </row>
    <row r="154" spans="1:9" ht="14.25" customHeight="1" x14ac:dyDescent="0.35">
      <c r="A154" s="1" t="s">
        <v>69</v>
      </c>
      <c r="B154" s="2" t="s">
        <v>10</v>
      </c>
      <c r="C154" s="2">
        <v>9754</v>
      </c>
      <c r="D154" s="2">
        <v>629</v>
      </c>
      <c r="E154" s="2">
        <v>938068</v>
      </c>
      <c r="F154" s="2">
        <f t="shared" si="4"/>
        <v>9125</v>
      </c>
      <c r="G154" s="3">
        <f t="shared" si="5"/>
        <v>0.97274398018054131</v>
      </c>
      <c r="H154" s="2">
        <v>3.4123325814333292</v>
      </c>
      <c r="I154" s="2">
        <v>19435</v>
      </c>
    </row>
    <row r="155" spans="1:9" ht="14.25" customHeight="1" x14ac:dyDescent="0.35">
      <c r="A155" s="1" t="s">
        <v>69</v>
      </c>
      <c r="B155" s="2" t="s">
        <v>12</v>
      </c>
      <c r="C155" s="2">
        <v>9964</v>
      </c>
      <c r="D155" s="2">
        <v>985</v>
      </c>
      <c r="E155" s="2">
        <v>947047</v>
      </c>
      <c r="F155" s="2">
        <f t="shared" si="4"/>
        <v>8979</v>
      </c>
      <c r="G155" s="3">
        <f t="shared" si="5"/>
        <v>0.94810500429228961</v>
      </c>
      <c r="H155" s="2">
        <v>1.9837452629066989</v>
      </c>
      <c r="I155" s="2">
        <v>47766</v>
      </c>
    </row>
    <row r="156" spans="1:9" ht="14.25" customHeight="1" x14ac:dyDescent="0.35">
      <c r="A156" s="1" t="s">
        <v>69</v>
      </c>
      <c r="B156" s="2" t="s">
        <v>12</v>
      </c>
      <c r="C156" s="2">
        <v>7493</v>
      </c>
      <c r="D156" s="2">
        <v>1113</v>
      </c>
      <c r="E156" s="2">
        <v>953427</v>
      </c>
      <c r="F156" s="2">
        <f t="shared" si="4"/>
        <v>6380</v>
      </c>
      <c r="G156" s="3">
        <f t="shared" si="5"/>
        <v>0.66916502259743016</v>
      </c>
      <c r="H156" s="2">
        <v>15.684892498324469</v>
      </c>
      <c r="I156" s="2">
        <v>10162</v>
      </c>
    </row>
    <row r="157" spans="1:9" ht="14.25" customHeight="1" x14ac:dyDescent="0.35">
      <c r="A157" s="1" t="s">
        <v>69</v>
      </c>
      <c r="B157" s="2" t="s">
        <v>10</v>
      </c>
      <c r="C157" s="2">
        <v>6439</v>
      </c>
      <c r="D157" s="2">
        <v>477</v>
      </c>
      <c r="E157" s="2">
        <v>959389</v>
      </c>
      <c r="F157" s="2">
        <f t="shared" si="4"/>
        <v>5962</v>
      </c>
      <c r="G157" s="3">
        <f t="shared" si="5"/>
        <v>0.62143718554204808</v>
      </c>
      <c r="H157" s="2">
        <v>7.4744446725989153</v>
      </c>
      <c r="I157" s="2">
        <v>44742</v>
      </c>
    </row>
    <row r="158" spans="1:9" ht="14.25" customHeight="1" x14ac:dyDescent="0.35">
      <c r="A158" s="1" t="s">
        <v>70</v>
      </c>
      <c r="B158" s="2" t="s">
        <v>12</v>
      </c>
      <c r="C158" s="2">
        <v>7511</v>
      </c>
      <c r="D158" s="2">
        <v>880</v>
      </c>
      <c r="E158" s="2">
        <v>966020</v>
      </c>
      <c r="F158" s="2">
        <f t="shared" si="4"/>
        <v>6631</v>
      </c>
      <c r="G158" s="3">
        <f t="shared" si="5"/>
        <v>0.68642471170369146</v>
      </c>
      <c r="H158" s="2">
        <v>4.6083932009689246</v>
      </c>
      <c r="I158" s="2">
        <v>29675</v>
      </c>
    </row>
    <row r="159" spans="1:9" ht="14.25" customHeight="1" x14ac:dyDescent="0.35">
      <c r="A159" s="1" t="s">
        <v>70</v>
      </c>
      <c r="B159" s="2" t="s">
        <v>32</v>
      </c>
      <c r="C159" s="2">
        <v>8504</v>
      </c>
      <c r="D159" s="2">
        <v>1072</v>
      </c>
      <c r="E159" s="2">
        <v>973452</v>
      </c>
      <c r="F159" s="2">
        <f t="shared" si="4"/>
        <v>7432</v>
      </c>
      <c r="G159" s="3">
        <f t="shared" si="5"/>
        <v>0.76346856342171987</v>
      </c>
      <c r="H159" s="2">
        <v>6.5651927367759271</v>
      </c>
      <c r="I159" s="2">
        <v>18461</v>
      </c>
    </row>
    <row r="160" spans="1:9" ht="14.25" customHeight="1" x14ac:dyDescent="0.35">
      <c r="A160" s="1" t="s">
        <v>70</v>
      </c>
      <c r="B160" s="2" t="s">
        <v>11</v>
      </c>
      <c r="C160" s="2">
        <v>2246</v>
      </c>
      <c r="D160" s="2">
        <v>165</v>
      </c>
      <c r="E160" s="2">
        <v>975533</v>
      </c>
      <c r="F160" s="2">
        <f t="shared" si="4"/>
        <v>2081</v>
      </c>
      <c r="G160" s="3">
        <f t="shared" si="5"/>
        <v>0.21331928289458174</v>
      </c>
      <c r="H160" s="2">
        <v>2.9062061457685191</v>
      </c>
      <c r="I160" s="2">
        <v>27015</v>
      </c>
    </row>
    <row r="161" spans="1:9" ht="14.25" customHeight="1" x14ac:dyDescent="0.35">
      <c r="A161" s="1" t="s">
        <v>70</v>
      </c>
      <c r="B161" s="2" t="s">
        <v>11</v>
      </c>
      <c r="C161" s="2">
        <v>4839</v>
      </c>
      <c r="D161" s="2">
        <v>594</v>
      </c>
      <c r="E161" s="2">
        <v>979778</v>
      </c>
      <c r="F161" s="2">
        <f t="shared" si="4"/>
        <v>4245</v>
      </c>
      <c r="G161" s="3">
        <f t="shared" si="5"/>
        <v>0.43326141227910814</v>
      </c>
      <c r="H161" s="2">
        <v>2.5803804535313102</v>
      </c>
      <c r="I161" s="2">
        <v>42591</v>
      </c>
    </row>
    <row r="162" spans="1:9" ht="14.25" customHeight="1" x14ac:dyDescent="0.35">
      <c r="A162" s="1" t="s">
        <v>71</v>
      </c>
      <c r="B162" s="2" t="s">
        <v>11</v>
      </c>
      <c r="C162" s="2">
        <v>9551</v>
      </c>
      <c r="D162" s="2">
        <v>828</v>
      </c>
      <c r="E162" s="2">
        <v>988501</v>
      </c>
      <c r="F162" s="2">
        <f t="shared" si="4"/>
        <v>8723</v>
      </c>
      <c r="G162" s="3">
        <f t="shared" si="5"/>
        <v>0.88244726105487004</v>
      </c>
      <c r="H162" s="2">
        <v>1.525036393488727</v>
      </c>
      <c r="I162" s="2">
        <v>38047</v>
      </c>
    </row>
    <row r="163" spans="1:9" ht="14.25" customHeight="1" x14ac:dyDescent="0.35">
      <c r="A163" s="1" t="s">
        <v>71</v>
      </c>
      <c r="B163" s="2" t="s">
        <v>10</v>
      </c>
      <c r="C163" s="2">
        <v>3376</v>
      </c>
      <c r="D163" s="2">
        <v>382</v>
      </c>
      <c r="E163" s="2">
        <v>991495</v>
      </c>
      <c r="F163" s="2">
        <f t="shared" si="4"/>
        <v>2994</v>
      </c>
      <c r="G163" s="3">
        <f t="shared" si="5"/>
        <v>0.30196823988018096</v>
      </c>
      <c r="H163" s="2">
        <v>3.8694093263203548</v>
      </c>
      <c r="I163" s="2">
        <v>44782</v>
      </c>
    </row>
    <row r="164" spans="1:9" ht="14.25" customHeight="1" x14ac:dyDescent="0.35">
      <c r="A164" s="1" t="s">
        <v>71</v>
      </c>
      <c r="B164" s="2" t="s">
        <v>12</v>
      </c>
      <c r="C164" s="2">
        <v>4009</v>
      </c>
      <c r="D164" s="2">
        <v>454</v>
      </c>
      <c r="E164" s="2">
        <v>995050</v>
      </c>
      <c r="F164" s="2">
        <f t="shared" si="4"/>
        <v>3555</v>
      </c>
      <c r="G164" s="3">
        <f t="shared" si="5"/>
        <v>0.35726847897090597</v>
      </c>
      <c r="H164" s="2">
        <v>2.1106477061454201</v>
      </c>
      <c r="I164" s="2">
        <v>19833</v>
      </c>
    </row>
    <row r="165" spans="1:9" ht="14.25" customHeight="1" x14ac:dyDescent="0.35">
      <c r="A165" s="1" t="s">
        <v>71</v>
      </c>
      <c r="B165" s="2" t="s">
        <v>32</v>
      </c>
      <c r="C165" s="2">
        <v>2827</v>
      </c>
      <c r="D165" s="2">
        <v>292</v>
      </c>
      <c r="E165" s="2">
        <v>997585</v>
      </c>
      <c r="F165" s="2">
        <f t="shared" si="4"/>
        <v>2535</v>
      </c>
      <c r="G165" s="3">
        <f t="shared" si="5"/>
        <v>0.25411368454818384</v>
      </c>
      <c r="H165" s="2">
        <v>2.4004972007397871</v>
      </c>
      <c r="I165" s="2">
        <v>17896</v>
      </c>
    </row>
    <row r="166" spans="1:9" ht="14.25" customHeight="1" x14ac:dyDescent="0.35">
      <c r="A166" s="1" t="s">
        <v>72</v>
      </c>
      <c r="B166" s="2" t="s">
        <v>32</v>
      </c>
      <c r="C166" s="2">
        <v>7979</v>
      </c>
      <c r="D166" s="2">
        <v>470</v>
      </c>
      <c r="E166" s="2">
        <v>1005094</v>
      </c>
      <c r="F166" s="2">
        <f t="shared" si="4"/>
        <v>7509</v>
      </c>
      <c r="G166" s="3">
        <f t="shared" si="5"/>
        <v>0.74709430162750945</v>
      </c>
      <c r="H166" s="2">
        <v>10.43086517280971</v>
      </c>
      <c r="I166" s="2">
        <v>42972</v>
      </c>
    </row>
    <row r="167" spans="1:9" ht="14.25" customHeight="1" x14ac:dyDescent="0.35">
      <c r="A167" s="1" t="s">
        <v>72</v>
      </c>
      <c r="B167" s="2" t="s">
        <v>10</v>
      </c>
      <c r="C167" s="2">
        <v>9569</v>
      </c>
      <c r="D167" s="2">
        <v>1277</v>
      </c>
      <c r="E167" s="2">
        <v>1013386</v>
      </c>
      <c r="F167" s="2">
        <f t="shared" si="4"/>
        <v>8292</v>
      </c>
      <c r="G167" s="3">
        <f t="shared" si="5"/>
        <v>0.81824694637581341</v>
      </c>
      <c r="H167" s="2">
        <v>12.45517502708741</v>
      </c>
      <c r="I167" s="2">
        <v>59733</v>
      </c>
    </row>
    <row r="168" spans="1:9" ht="14.25" customHeight="1" x14ac:dyDescent="0.35">
      <c r="A168" s="1" t="s">
        <v>72</v>
      </c>
      <c r="B168" s="2" t="s">
        <v>32</v>
      </c>
      <c r="C168" s="2">
        <v>5285</v>
      </c>
      <c r="D168" s="2">
        <v>433</v>
      </c>
      <c r="E168" s="2">
        <v>1018238</v>
      </c>
      <c r="F168" s="2">
        <f t="shared" si="4"/>
        <v>4852</v>
      </c>
      <c r="G168" s="3">
        <f t="shared" si="5"/>
        <v>0.47650942117658152</v>
      </c>
      <c r="H168" s="2">
        <v>8.7022876773406619</v>
      </c>
      <c r="I168" s="2">
        <v>51800</v>
      </c>
    </row>
    <row r="169" spans="1:9" ht="14.25" customHeight="1" x14ac:dyDescent="0.35">
      <c r="A169" s="1" t="s">
        <v>72</v>
      </c>
      <c r="B169" s="2" t="s">
        <v>32</v>
      </c>
      <c r="C169" s="2">
        <v>7910</v>
      </c>
      <c r="D169" s="2">
        <v>543</v>
      </c>
      <c r="E169" s="2">
        <v>1025605</v>
      </c>
      <c r="F169" s="2">
        <f t="shared" si="4"/>
        <v>7367</v>
      </c>
      <c r="G169" s="3">
        <f t="shared" si="5"/>
        <v>0.71830773055903585</v>
      </c>
      <c r="H169" s="2">
        <v>6.0590578244060822</v>
      </c>
      <c r="I169" s="2">
        <v>40508</v>
      </c>
    </row>
    <row r="170" spans="1:9" ht="14.25" customHeight="1" x14ac:dyDescent="0.35">
      <c r="A170" s="1" t="s">
        <v>73</v>
      </c>
      <c r="B170" s="2" t="s">
        <v>32</v>
      </c>
      <c r="C170" s="2">
        <v>9561</v>
      </c>
      <c r="D170" s="2">
        <v>517</v>
      </c>
      <c r="E170" s="2">
        <v>1034649</v>
      </c>
      <c r="F170" s="2">
        <f t="shared" si="4"/>
        <v>9044</v>
      </c>
      <c r="G170" s="3">
        <f t="shared" si="5"/>
        <v>0.87411286339618566</v>
      </c>
      <c r="H170" s="2">
        <v>6.4086467971263694</v>
      </c>
      <c r="I170" s="2">
        <v>15347</v>
      </c>
    </row>
    <row r="171" spans="1:9" ht="14.25" customHeight="1" x14ac:dyDescent="0.35">
      <c r="A171" s="1" t="s">
        <v>73</v>
      </c>
      <c r="B171" s="2" t="s">
        <v>32</v>
      </c>
      <c r="C171" s="2">
        <v>3196</v>
      </c>
      <c r="D171" s="2">
        <v>348</v>
      </c>
      <c r="E171" s="2">
        <v>1037497</v>
      </c>
      <c r="F171" s="2">
        <f t="shared" si="4"/>
        <v>2848</v>
      </c>
      <c r="G171" s="3">
        <f t="shared" si="5"/>
        <v>0.27450681785103953</v>
      </c>
      <c r="H171" s="2">
        <v>14.03040201562029</v>
      </c>
      <c r="I171" s="2">
        <v>40314</v>
      </c>
    </row>
    <row r="172" spans="1:9" ht="14.25" customHeight="1" x14ac:dyDescent="0.35">
      <c r="A172" s="1" t="s">
        <v>73</v>
      </c>
      <c r="B172" s="2" t="s">
        <v>12</v>
      </c>
      <c r="C172" s="2">
        <v>4747</v>
      </c>
      <c r="D172" s="2">
        <v>558</v>
      </c>
      <c r="E172" s="2">
        <v>1041686</v>
      </c>
      <c r="F172" s="2">
        <f t="shared" si="4"/>
        <v>4189</v>
      </c>
      <c r="G172" s="3">
        <f t="shared" si="5"/>
        <v>0.40213653634588542</v>
      </c>
      <c r="H172" s="2">
        <v>5.7680529449373434</v>
      </c>
      <c r="I172" s="2">
        <v>12643</v>
      </c>
    </row>
    <row r="173" spans="1:9" ht="14.25" customHeight="1" x14ac:dyDescent="0.35">
      <c r="A173" s="1" t="s">
        <v>73</v>
      </c>
      <c r="B173" s="2" t="s">
        <v>32</v>
      </c>
      <c r="C173" s="2">
        <v>9843</v>
      </c>
      <c r="D173" s="2">
        <v>508</v>
      </c>
      <c r="E173" s="2">
        <v>1051021</v>
      </c>
      <c r="F173" s="2">
        <f t="shared" si="4"/>
        <v>9335</v>
      </c>
      <c r="G173" s="3">
        <f t="shared" si="5"/>
        <v>0.88818396587699</v>
      </c>
      <c r="H173" s="2">
        <v>4.2080986012648651</v>
      </c>
      <c r="I173" s="2">
        <v>50785</v>
      </c>
    </row>
    <row r="174" spans="1:9" ht="14.25" customHeight="1" x14ac:dyDescent="0.35">
      <c r="A174" s="1" t="s">
        <v>74</v>
      </c>
      <c r="B174" s="2" t="s">
        <v>11</v>
      </c>
      <c r="C174" s="2">
        <v>6978</v>
      </c>
      <c r="D174" s="2">
        <v>706</v>
      </c>
      <c r="E174" s="2">
        <v>1057293</v>
      </c>
      <c r="F174" s="2">
        <f t="shared" si="4"/>
        <v>6272</v>
      </c>
      <c r="G174" s="3">
        <f t="shared" si="5"/>
        <v>0.59321304501212058</v>
      </c>
      <c r="H174" s="2">
        <v>5.057443868445171</v>
      </c>
      <c r="I174" s="2">
        <v>28681</v>
      </c>
    </row>
    <row r="175" spans="1:9" ht="14.25" customHeight="1" x14ac:dyDescent="0.35">
      <c r="A175" s="1" t="s">
        <v>74</v>
      </c>
      <c r="B175" s="2" t="s">
        <v>10</v>
      </c>
      <c r="C175" s="2">
        <v>6607</v>
      </c>
      <c r="D175" s="2">
        <v>479</v>
      </c>
      <c r="E175" s="2">
        <v>1063421</v>
      </c>
      <c r="F175" s="2">
        <f t="shared" si="4"/>
        <v>6128</v>
      </c>
      <c r="G175" s="3">
        <f t="shared" si="5"/>
        <v>0.57625343114345118</v>
      </c>
      <c r="H175" s="2">
        <v>5.5892257158735816</v>
      </c>
      <c r="I175" s="2">
        <v>48328</v>
      </c>
    </row>
    <row r="176" spans="1:9" ht="14.25" customHeight="1" x14ac:dyDescent="0.35">
      <c r="A176" s="1" t="s">
        <v>74</v>
      </c>
      <c r="B176" s="2" t="s">
        <v>12</v>
      </c>
      <c r="C176" s="2">
        <v>1769</v>
      </c>
      <c r="D176" s="2">
        <v>202</v>
      </c>
      <c r="E176" s="2">
        <v>1064988</v>
      </c>
      <c r="F176" s="2">
        <f t="shared" si="4"/>
        <v>1567</v>
      </c>
      <c r="G176" s="3">
        <f t="shared" si="5"/>
        <v>0.14713780812553756</v>
      </c>
      <c r="H176" s="2">
        <v>6.5457075572682513</v>
      </c>
      <c r="I176" s="2">
        <v>25892</v>
      </c>
    </row>
    <row r="177" spans="1:9" ht="14.25" customHeight="1" x14ac:dyDescent="0.35">
      <c r="A177" s="1" t="s">
        <v>74</v>
      </c>
      <c r="B177" s="2" t="s">
        <v>32</v>
      </c>
      <c r="C177" s="2">
        <v>1780</v>
      </c>
      <c r="D177" s="2">
        <v>120</v>
      </c>
      <c r="E177" s="2">
        <v>1066648</v>
      </c>
      <c r="F177" s="2">
        <f t="shared" si="4"/>
        <v>1660</v>
      </c>
      <c r="G177" s="3">
        <f t="shared" si="5"/>
        <v>0.15562772348516099</v>
      </c>
      <c r="H177" s="2">
        <v>13.86474263299608</v>
      </c>
      <c r="I177" s="2">
        <v>57299</v>
      </c>
    </row>
    <row r="178" spans="1:9" ht="14.25" customHeight="1" x14ac:dyDescent="0.35">
      <c r="A178" s="1" t="s">
        <v>75</v>
      </c>
      <c r="B178" s="2" t="s">
        <v>12</v>
      </c>
      <c r="C178" s="2">
        <v>7303</v>
      </c>
      <c r="D178" s="2">
        <v>869</v>
      </c>
      <c r="E178" s="2">
        <v>1073082</v>
      </c>
      <c r="F178" s="2">
        <f t="shared" si="4"/>
        <v>6434</v>
      </c>
      <c r="G178" s="3">
        <f t="shared" si="5"/>
        <v>0.59958139266151145</v>
      </c>
      <c r="H178" s="2">
        <v>8.1237966902808925</v>
      </c>
      <c r="I178" s="2">
        <v>27073</v>
      </c>
    </row>
    <row r="179" spans="1:9" ht="14.25" customHeight="1" x14ac:dyDescent="0.35">
      <c r="A179" s="1" t="s">
        <v>75</v>
      </c>
      <c r="B179" s="2" t="s">
        <v>32</v>
      </c>
      <c r="C179" s="2">
        <v>4983</v>
      </c>
      <c r="D179" s="2">
        <v>441</v>
      </c>
      <c r="E179" s="2">
        <v>1077624</v>
      </c>
      <c r="F179" s="2">
        <f t="shared" si="4"/>
        <v>4542</v>
      </c>
      <c r="G179" s="3">
        <f t="shared" si="5"/>
        <v>0.42148281775461571</v>
      </c>
      <c r="H179" s="2">
        <v>6.8954477628560609</v>
      </c>
      <c r="I179" s="2">
        <v>46768</v>
      </c>
    </row>
    <row r="180" spans="1:9" ht="14.25" customHeight="1" x14ac:dyDescent="0.35">
      <c r="A180" s="1" t="s">
        <v>75</v>
      </c>
      <c r="B180" s="2" t="s">
        <v>11</v>
      </c>
      <c r="C180" s="2">
        <v>9714</v>
      </c>
      <c r="D180" s="2">
        <v>1395</v>
      </c>
      <c r="E180" s="2">
        <v>1085943</v>
      </c>
      <c r="F180" s="2">
        <f t="shared" si="4"/>
        <v>8319</v>
      </c>
      <c r="G180" s="3">
        <f t="shared" si="5"/>
        <v>0.76606230713766743</v>
      </c>
      <c r="H180" s="2">
        <v>5.2243073531483697</v>
      </c>
      <c r="I180" s="2">
        <v>40682</v>
      </c>
    </row>
    <row r="181" spans="1:9" ht="14.25" customHeight="1" x14ac:dyDescent="0.35">
      <c r="A181" s="1" t="s">
        <v>75</v>
      </c>
      <c r="B181" s="2" t="s">
        <v>10</v>
      </c>
      <c r="C181" s="2">
        <v>1521</v>
      </c>
      <c r="D181" s="2">
        <v>96</v>
      </c>
      <c r="E181" s="2">
        <v>1087368</v>
      </c>
      <c r="F181" s="2">
        <f t="shared" si="4"/>
        <v>1425</v>
      </c>
      <c r="G181" s="3">
        <f t="shared" si="5"/>
        <v>0.13105038956452644</v>
      </c>
      <c r="H181" s="2">
        <v>12.709772588488899</v>
      </c>
      <c r="I181" s="2">
        <v>42262</v>
      </c>
    </row>
    <row r="182" spans="1:9" ht="14.25" customHeight="1" x14ac:dyDescent="0.35">
      <c r="A182" s="1" t="s">
        <v>76</v>
      </c>
      <c r="B182" s="2" t="s">
        <v>32</v>
      </c>
      <c r="C182" s="2">
        <v>8569</v>
      </c>
      <c r="D182" s="2">
        <v>720</v>
      </c>
      <c r="E182" s="2">
        <v>1095217</v>
      </c>
      <c r="F182" s="2">
        <f t="shared" si="4"/>
        <v>7849</v>
      </c>
      <c r="G182" s="3">
        <f t="shared" si="5"/>
        <v>0.71666162961312685</v>
      </c>
      <c r="H182" s="2">
        <v>9.589697749395782</v>
      </c>
      <c r="I182" s="2">
        <v>41358</v>
      </c>
    </row>
    <row r="183" spans="1:9" ht="14.25" customHeight="1" x14ac:dyDescent="0.35">
      <c r="A183" s="1" t="s">
        <v>76</v>
      </c>
      <c r="B183" s="2" t="s">
        <v>32</v>
      </c>
      <c r="C183" s="2">
        <v>6784</v>
      </c>
      <c r="D183" s="2">
        <v>416</v>
      </c>
      <c r="E183" s="2">
        <v>1101585</v>
      </c>
      <c r="F183" s="2">
        <f t="shared" si="4"/>
        <v>6368</v>
      </c>
      <c r="G183" s="3">
        <f t="shared" si="5"/>
        <v>0.57807613574985128</v>
      </c>
      <c r="H183" s="2">
        <v>9.3041390360253633</v>
      </c>
      <c r="I183" s="2">
        <v>24289</v>
      </c>
    </row>
    <row r="184" spans="1:9" ht="14.25" customHeight="1" x14ac:dyDescent="0.35">
      <c r="A184" s="1" t="s">
        <v>76</v>
      </c>
      <c r="B184" s="2" t="s">
        <v>32</v>
      </c>
      <c r="C184" s="2">
        <v>5583</v>
      </c>
      <c r="D184" s="2">
        <v>795</v>
      </c>
      <c r="E184" s="2">
        <v>1106373</v>
      </c>
      <c r="F184" s="2">
        <f t="shared" si="4"/>
        <v>4788</v>
      </c>
      <c r="G184" s="3">
        <f t="shared" si="5"/>
        <v>0.43276544167292591</v>
      </c>
      <c r="H184" s="2">
        <v>12.21550055903389</v>
      </c>
      <c r="I184" s="2">
        <v>59823</v>
      </c>
    </row>
    <row r="185" spans="1:9" ht="14.25" customHeight="1" x14ac:dyDescent="0.35">
      <c r="A185" s="1" t="s">
        <v>76</v>
      </c>
      <c r="B185" s="2" t="s">
        <v>32</v>
      </c>
      <c r="C185" s="2">
        <v>6946</v>
      </c>
      <c r="D185" s="2">
        <v>956</v>
      </c>
      <c r="E185" s="2">
        <v>1112363</v>
      </c>
      <c r="F185" s="2">
        <f t="shared" si="4"/>
        <v>5990</v>
      </c>
      <c r="G185" s="3">
        <f t="shared" si="5"/>
        <v>0.53849327962185001</v>
      </c>
      <c r="H185" s="2">
        <v>1.64146056637986</v>
      </c>
      <c r="I185" s="2">
        <v>17927</v>
      </c>
    </row>
    <row r="186" spans="1:9" ht="14.25" customHeight="1" x14ac:dyDescent="0.35">
      <c r="A186" s="1" t="s">
        <v>77</v>
      </c>
      <c r="B186" s="2" t="s">
        <v>10</v>
      </c>
      <c r="C186" s="2">
        <v>5941</v>
      </c>
      <c r="D186" s="2">
        <v>450</v>
      </c>
      <c r="E186" s="2">
        <v>1117854</v>
      </c>
      <c r="F186" s="2">
        <f t="shared" si="4"/>
        <v>5491</v>
      </c>
      <c r="G186" s="3">
        <f t="shared" si="5"/>
        <v>0.49120904876665472</v>
      </c>
      <c r="H186" s="2">
        <v>12.414411899944</v>
      </c>
      <c r="I186" s="2">
        <v>58330</v>
      </c>
    </row>
    <row r="187" spans="1:9" ht="14.25" customHeight="1" x14ac:dyDescent="0.35">
      <c r="A187" s="1" t="s">
        <v>77</v>
      </c>
      <c r="B187" s="2" t="s">
        <v>10</v>
      </c>
      <c r="C187" s="2">
        <v>7267</v>
      </c>
      <c r="D187" s="2">
        <v>842</v>
      </c>
      <c r="E187" s="2">
        <v>1124279</v>
      </c>
      <c r="F187" s="2">
        <f t="shared" si="4"/>
        <v>6425</v>
      </c>
      <c r="G187" s="3">
        <f t="shared" si="5"/>
        <v>0.57147736460433751</v>
      </c>
      <c r="H187" s="2">
        <v>2.2102165031989389</v>
      </c>
      <c r="I187" s="2">
        <v>11171</v>
      </c>
    </row>
    <row r="188" spans="1:9" ht="14.25" customHeight="1" x14ac:dyDescent="0.35">
      <c r="A188" s="1" t="s">
        <v>77</v>
      </c>
      <c r="B188" s="2" t="s">
        <v>11</v>
      </c>
      <c r="C188" s="2">
        <v>8128</v>
      </c>
      <c r="D188" s="2">
        <v>1070</v>
      </c>
      <c r="E188" s="2">
        <v>1131337</v>
      </c>
      <c r="F188" s="2">
        <f t="shared" si="4"/>
        <v>7058</v>
      </c>
      <c r="G188" s="3">
        <f t="shared" si="5"/>
        <v>0.62386362330587608</v>
      </c>
      <c r="H188" s="2">
        <v>8.1114645768679008</v>
      </c>
      <c r="I188" s="2">
        <v>21918</v>
      </c>
    </row>
    <row r="189" spans="1:9" ht="14.25" customHeight="1" x14ac:dyDescent="0.35">
      <c r="A189" s="1" t="s">
        <v>77</v>
      </c>
      <c r="B189" s="2" t="s">
        <v>10</v>
      </c>
      <c r="C189" s="2">
        <v>3461</v>
      </c>
      <c r="D189" s="2">
        <v>365</v>
      </c>
      <c r="E189" s="2">
        <v>1134433</v>
      </c>
      <c r="F189" s="2">
        <f t="shared" si="4"/>
        <v>3096</v>
      </c>
      <c r="G189" s="3">
        <f t="shared" si="5"/>
        <v>0.27291166600407429</v>
      </c>
      <c r="H189" s="2">
        <v>10.23489267325616</v>
      </c>
      <c r="I189" s="2">
        <v>51903</v>
      </c>
    </row>
    <row r="190" spans="1:9" ht="14.25" customHeight="1" x14ac:dyDescent="0.35">
      <c r="A190" s="1" t="s">
        <v>78</v>
      </c>
      <c r="B190" s="2" t="s">
        <v>32</v>
      </c>
      <c r="C190" s="2">
        <v>1685</v>
      </c>
      <c r="D190" s="2">
        <v>173</v>
      </c>
      <c r="E190" s="2">
        <v>1135945</v>
      </c>
      <c r="F190" s="2">
        <f t="shared" si="4"/>
        <v>1512</v>
      </c>
      <c r="G190" s="3">
        <f t="shared" si="5"/>
        <v>0.13310503589522379</v>
      </c>
      <c r="H190" s="2">
        <v>8.7776256772995165</v>
      </c>
      <c r="I190" s="2">
        <v>49110</v>
      </c>
    </row>
    <row r="191" spans="1:9" ht="14.25" customHeight="1" x14ac:dyDescent="0.35">
      <c r="A191" s="1" t="s">
        <v>78</v>
      </c>
      <c r="B191" s="2" t="s">
        <v>11</v>
      </c>
      <c r="C191" s="2">
        <v>3160</v>
      </c>
      <c r="D191" s="2">
        <v>234</v>
      </c>
      <c r="E191" s="2">
        <v>1138871</v>
      </c>
      <c r="F191" s="2">
        <f t="shared" si="4"/>
        <v>2926</v>
      </c>
      <c r="G191" s="3">
        <f t="shared" si="5"/>
        <v>0.25692110871204904</v>
      </c>
      <c r="H191" s="2">
        <v>5.6959041015180816</v>
      </c>
      <c r="I191" s="2">
        <v>21929</v>
      </c>
    </row>
    <row r="192" spans="1:9" ht="14.25" customHeight="1" x14ac:dyDescent="0.35">
      <c r="A192" s="1" t="s">
        <v>78</v>
      </c>
      <c r="B192" s="2" t="s">
        <v>11</v>
      </c>
      <c r="C192" s="2">
        <v>8031</v>
      </c>
      <c r="D192" s="2">
        <v>476</v>
      </c>
      <c r="E192" s="2">
        <v>1146426</v>
      </c>
      <c r="F192" s="2">
        <f t="shared" si="4"/>
        <v>7555</v>
      </c>
      <c r="G192" s="3">
        <f t="shared" si="5"/>
        <v>0.65900459340594164</v>
      </c>
      <c r="H192" s="2">
        <v>11.940413075069831</v>
      </c>
      <c r="I192" s="2">
        <v>12539</v>
      </c>
    </row>
    <row r="193" spans="1:9" ht="14.25" customHeight="1" x14ac:dyDescent="0.35">
      <c r="A193" s="1" t="s">
        <v>78</v>
      </c>
      <c r="B193" s="2" t="s">
        <v>11</v>
      </c>
      <c r="C193" s="2">
        <v>6341</v>
      </c>
      <c r="D193" s="2">
        <v>885</v>
      </c>
      <c r="E193" s="2">
        <v>1151882</v>
      </c>
      <c r="F193" s="2">
        <f t="shared" si="4"/>
        <v>5456</v>
      </c>
      <c r="G193" s="3">
        <f t="shared" si="5"/>
        <v>0.47365962832998515</v>
      </c>
      <c r="H193" s="2">
        <v>6.3457020771224837</v>
      </c>
      <c r="I193" s="2">
        <v>46727</v>
      </c>
    </row>
    <row r="194" spans="1:9" ht="14.25" customHeight="1" x14ac:dyDescent="0.35">
      <c r="A194" s="1" t="s">
        <v>79</v>
      </c>
      <c r="B194" s="2" t="s">
        <v>32</v>
      </c>
      <c r="C194" s="2">
        <v>1038</v>
      </c>
      <c r="D194" s="2">
        <v>145</v>
      </c>
      <c r="E194" s="2">
        <v>1152775</v>
      </c>
      <c r="F194" s="2">
        <f t="shared" si="4"/>
        <v>893</v>
      </c>
      <c r="G194" s="3">
        <f t="shared" si="5"/>
        <v>7.7465246904209403E-2</v>
      </c>
      <c r="H194" s="2">
        <v>11.093752033137431</v>
      </c>
      <c r="I194" s="2">
        <v>55951</v>
      </c>
    </row>
    <row r="195" spans="1:9" ht="14.25" customHeight="1" x14ac:dyDescent="0.35">
      <c r="A195" s="1" t="s">
        <v>79</v>
      </c>
      <c r="B195" s="2" t="s">
        <v>12</v>
      </c>
      <c r="C195" s="2">
        <v>5875</v>
      </c>
      <c r="D195" s="2">
        <v>665</v>
      </c>
      <c r="E195" s="2">
        <v>1157985</v>
      </c>
      <c r="F195" s="2">
        <f t="shared" ref="F195:F201" si="6">C195-D195</f>
        <v>5210</v>
      </c>
      <c r="G195" s="3">
        <f t="shared" ref="G195:G201" si="7">(F195/E195)*100</f>
        <v>0.4499194721866</v>
      </c>
      <c r="H195" s="2">
        <v>6.9871371390821126</v>
      </c>
      <c r="I195" s="2">
        <v>32669</v>
      </c>
    </row>
    <row r="196" spans="1:9" ht="14.25" customHeight="1" x14ac:dyDescent="0.35">
      <c r="A196" s="1" t="s">
        <v>79</v>
      </c>
      <c r="B196" s="2" t="s">
        <v>32</v>
      </c>
      <c r="C196" s="2">
        <v>2256</v>
      </c>
      <c r="D196" s="2">
        <v>189</v>
      </c>
      <c r="E196" s="2">
        <v>1160052</v>
      </c>
      <c r="F196" s="2">
        <f t="shared" si="6"/>
        <v>2067</v>
      </c>
      <c r="G196" s="3">
        <f t="shared" si="7"/>
        <v>0.17818166771834365</v>
      </c>
      <c r="H196" s="2">
        <v>2.8935771844710412</v>
      </c>
      <c r="I196" s="2">
        <v>15432</v>
      </c>
    </row>
    <row r="197" spans="1:9" ht="14.25" customHeight="1" x14ac:dyDescent="0.35">
      <c r="A197" s="1" t="s">
        <v>79</v>
      </c>
      <c r="B197" s="2" t="s">
        <v>10</v>
      </c>
      <c r="C197" s="2">
        <v>8697</v>
      </c>
      <c r="D197" s="2">
        <v>738</v>
      </c>
      <c r="E197" s="2">
        <v>1168011</v>
      </c>
      <c r="F197" s="2">
        <f t="shared" si="6"/>
        <v>7959</v>
      </c>
      <c r="G197" s="3">
        <f t="shared" si="7"/>
        <v>0.6814148154426628</v>
      </c>
      <c r="H197" s="2">
        <v>3.8777032065622672</v>
      </c>
      <c r="I197" s="2">
        <v>30644</v>
      </c>
    </row>
    <row r="198" spans="1:9" ht="14.25" customHeight="1" x14ac:dyDescent="0.35">
      <c r="A198" s="1" t="s">
        <v>80</v>
      </c>
      <c r="B198" s="2" t="s">
        <v>10</v>
      </c>
      <c r="C198" s="2">
        <v>3196</v>
      </c>
      <c r="D198" s="2">
        <v>391</v>
      </c>
      <c r="E198" s="2">
        <v>1170816</v>
      </c>
      <c r="F198" s="2">
        <f t="shared" si="6"/>
        <v>2805</v>
      </c>
      <c r="G198" s="3">
        <f t="shared" si="7"/>
        <v>0.23957650049196455</v>
      </c>
      <c r="H198" s="2">
        <v>7.2439221876024931</v>
      </c>
      <c r="I198" s="2">
        <v>28745</v>
      </c>
    </row>
    <row r="199" spans="1:9" ht="14.25" customHeight="1" x14ac:dyDescent="0.35">
      <c r="A199" s="1" t="s">
        <v>80</v>
      </c>
      <c r="B199" s="2" t="s">
        <v>32</v>
      </c>
      <c r="C199" s="2">
        <v>8165</v>
      </c>
      <c r="D199" s="2">
        <v>1140</v>
      </c>
      <c r="E199" s="2">
        <v>1177841</v>
      </c>
      <c r="F199" s="2">
        <f t="shared" si="6"/>
        <v>7025</v>
      </c>
      <c r="G199" s="3">
        <f t="shared" si="7"/>
        <v>0.59643024822535473</v>
      </c>
      <c r="H199" s="2">
        <v>9.095964565675672</v>
      </c>
      <c r="I199" s="2">
        <v>38228</v>
      </c>
    </row>
    <row r="200" spans="1:9" ht="14.25" customHeight="1" x14ac:dyDescent="0.35">
      <c r="A200" s="1" t="s">
        <v>80</v>
      </c>
      <c r="B200" s="2" t="s">
        <v>32</v>
      </c>
      <c r="C200" s="2">
        <v>1301</v>
      </c>
      <c r="D200" s="2">
        <v>180</v>
      </c>
      <c r="E200" s="2">
        <v>1178962</v>
      </c>
      <c r="F200" s="2">
        <f t="shared" si="6"/>
        <v>1121</v>
      </c>
      <c r="G200" s="3">
        <f t="shared" si="7"/>
        <v>9.5083641372665104E-2</v>
      </c>
      <c r="H200" s="2">
        <v>5.2275645864752214</v>
      </c>
      <c r="I200" s="2">
        <v>44521</v>
      </c>
    </row>
    <row r="201" spans="1:9" ht="14.25" customHeight="1" x14ac:dyDescent="0.35">
      <c r="A201" s="1" t="s">
        <v>80</v>
      </c>
      <c r="B201" s="2" t="s">
        <v>11</v>
      </c>
      <c r="C201" s="2">
        <v>8527</v>
      </c>
      <c r="D201" s="2">
        <v>1091</v>
      </c>
      <c r="E201" s="2">
        <v>1186398</v>
      </c>
      <c r="F201" s="2">
        <f t="shared" si="6"/>
        <v>7436</v>
      </c>
      <c r="G201" s="3">
        <f t="shared" si="7"/>
        <v>0.62677111728104729</v>
      </c>
      <c r="H201" s="2">
        <v>1.676081719625286</v>
      </c>
      <c r="I201" s="2">
        <v>41703</v>
      </c>
    </row>
    <row r="202" spans="1:9" ht="14.25" customHeight="1" x14ac:dyDescent="0.35">
      <c r="A202" s="8"/>
    </row>
    <row r="203" spans="1:9" ht="14.25" customHeight="1" x14ac:dyDescent="0.35">
      <c r="A203" s="8"/>
    </row>
    <row r="204" spans="1:9" ht="14.25" customHeight="1" x14ac:dyDescent="0.35">
      <c r="A204" s="8"/>
    </row>
    <row r="205" spans="1:9" ht="14.25" customHeight="1" x14ac:dyDescent="0.35">
      <c r="A205" s="8"/>
    </row>
    <row r="206" spans="1:9" ht="14.25" customHeight="1" x14ac:dyDescent="0.35">
      <c r="A206" s="8"/>
    </row>
    <row r="207" spans="1:9" ht="14.25" customHeight="1" x14ac:dyDescent="0.35">
      <c r="A207" s="8"/>
    </row>
    <row r="208" spans="1:9" ht="14.25" customHeight="1" x14ac:dyDescent="0.35">
      <c r="A208" s="8"/>
    </row>
    <row r="209" spans="1:1" ht="14.25" customHeight="1" x14ac:dyDescent="0.35">
      <c r="A209" s="8"/>
    </row>
    <row r="210" spans="1:1" ht="14.25" customHeight="1" x14ac:dyDescent="0.35">
      <c r="A210" s="8"/>
    </row>
    <row r="211" spans="1:1" ht="14.25" customHeight="1" x14ac:dyDescent="0.35">
      <c r="A211" s="8"/>
    </row>
    <row r="212" spans="1:1" ht="14.25" customHeight="1" x14ac:dyDescent="0.35">
      <c r="A212" s="8"/>
    </row>
    <row r="213" spans="1:1" ht="14.25" customHeight="1" x14ac:dyDescent="0.35">
      <c r="A213" s="8"/>
    </row>
    <row r="214" spans="1:1" ht="14.25" customHeight="1" x14ac:dyDescent="0.35">
      <c r="A214" s="8"/>
    </row>
    <row r="215" spans="1:1" ht="14.25" customHeight="1" x14ac:dyDescent="0.35">
      <c r="A215" s="8"/>
    </row>
    <row r="216" spans="1:1" ht="14.25" customHeight="1" x14ac:dyDescent="0.35">
      <c r="A216" s="8"/>
    </row>
    <row r="217" spans="1:1" ht="14.25" customHeight="1" x14ac:dyDescent="0.35">
      <c r="A217" s="8"/>
    </row>
    <row r="218" spans="1:1" ht="14.25" customHeight="1" x14ac:dyDescent="0.35">
      <c r="A218" s="8"/>
    </row>
    <row r="219" spans="1:1" ht="14.25" customHeight="1" x14ac:dyDescent="0.35">
      <c r="A219" s="8"/>
    </row>
    <row r="220" spans="1:1" ht="14.25" customHeight="1" x14ac:dyDescent="0.35">
      <c r="A220" s="8"/>
    </row>
    <row r="221" spans="1:1" ht="14.25" customHeight="1" x14ac:dyDescent="0.35">
      <c r="A221" s="8"/>
    </row>
    <row r="222" spans="1:1" ht="14.25" customHeight="1" x14ac:dyDescent="0.35">
      <c r="A222" s="8"/>
    </row>
    <row r="223" spans="1:1" ht="14.25" customHeight="1" x14ac:dyDescent="0.35">
      <c r="A223" s="8"/>
    </row>
    <row r="224" spans="1:1" ht="14.25" customHeight="1" x14ac:dyDescent="0.35">
      <c r="A224" s="8"/>
    </row>
    <row r="225" spans="1:1" ht="14.25" customHeight="1" x14ac:dyDescent="0.35">
      <c r="A225" s="8"/>
    </row>
    <row r="226" spans="1:1" ht="14.25" customHeight="1" x14ac:dyDescent="0.35">
      <c r="A226" s="8"/>
    </row>
    <row r="227" spans="1:1" ht="14.25" customHeight="1" x14ac:dyDescent="0.35">
      <c r="A227" s="8"/>
    </row>
    <row r="228" spans="1:1" ht="14.25" customHeight="1" x14ac:dyDescent="0.35">
      <c r="A228" s="8"/>
    </row>
    <row r="229" spans="1:1" ht="14.25" customHeight="1" x14ac:dyDescent="0.35">
      <c r="A229" s="8"/>
    </row>
    <row r="230" spans="1:1" ht="14.25" customHeight="1" x14ac:dyDescent="0.35">
      <c r="A230" s="8"/>
    </row>
    <row r="231" spans="1:1" ht="14.25" customHeight="1" x14ac:dyDescent="0.35">
      <c r="A231" s="8"/>
    </row>
    <row r="232" spans="1:1" ht="14.25" customHeight="1" x14ac:dyDescent="0.35">
      <c r="A232" s="8"/>
    </row>
    <row r="233" spans="1:1" ht="14.25" customHeight="1" x14ac:dyDescent="0.35">
      <c r="A233" s="8"/>
    </row>
    <row r="234" spans="1:1" ht="14.25" customHeight="1" x14ac:dyDescent="0.35">
      <c r="A234" s="8"/>
    </row>
    <row r="235" spans="1:1" ht="14.25" customHeight="1" x14ac:dyDescent="0.35">
      <c r="A235" s="9"/>
    </row>
    <row r="236" spans="1:1" ht="14.25" customHeight="1" x14ac:dyDescent="0.35">
      <c r="A236" s="9"/>
    </row>
    <row r="237" spans="1:1" ht="14.25" customHeight="1" x14ac:dyDescent="0.35">
      <c r="A237" s="9"/>
    </row>
    <row r="238" spans="1:1" ht="14.25" customHeight="1" x14ac:dyDescent="0.35">
      <c r="A238" s="9"/>
    </row>
    <row r="239" spans="1:1" ht="14.25" customHeight="1" x14ac:dyDescent="0.35">
      <c r="A239" s="9"/>
    </row>
    <row r="240" spans="1:1" ht="14.25" customHeight="1" x14ac:dyDescent="0.35">
      <c r="A240" s="9"/>
    </row>
    <row r="241" spans="1:1" ht="14.25" customHeight="1" x14ac:dyDescent="0.35">
      <c r="A241" s="9"/>
    </row>
    <row r="242" spans="1:1" ht="14.25" customHeight="1" x14ac:dyDescent="0.35">
      <c r="A242" s="9"/>
    </row>
    <row r="243" spans="1:1" ht="14.25" customHeight="1" x14ac:dyDescent="0.35">
      <c r="A243" s="9"/>
    </row>
    <row r="244" spans="1:1" ht="14.25" customHeight="1" x14ac:dyDescent="0.35">
      <c r="A244" s="9"/>
    </row>
    <row r="245" spans="1:1" ht="14.25" customHeight="1" x14ac:dyDescent="0.35">
      <c r="A245" s="9"/>
    </row>
    <row r="246" spans="1:1" ht="14.25" customHeight="1" x14ac:dyDescent="0.35">
      <c r="A246" s="9"/>
    </row>
    <row r="247" spans="1:1" ht="14.25" customHeight="1" x14ac:dyDescent="0.35">
      <c r="A247" s="9"/>
    </row>
    <row r="248" spans="1:1" ht="14.25" customHeight="1" x14ac:dyDescent="0.35">
      <c r="A248" s="9"/>
    </row>
    <row r="249" spans="1:1" ht="14.25" customHeight="1" x14ac:dyDescent="0.35">
      <c r="A249" s="9"/>
    </row>
    <row r="250" spans="1:1" ht="14.25" customHeight="1" x14ac:dyDescent="0.35">
      <c r="A250" s="9"/>
    </row>
    <row r="251" spans="1:1" ht="14.25" customHeight="1" x14ac:dyDescent="0.35">
      <c r="A251" s="9"/>
    </row>
    <row r="252" spans="1:1" ht="14.25" customHeight="1" x14ac:dyDescent="0.35"/>
    <row r="253" spans="1:1" ht="14.25" customHeight="1" x14ac:dyDescent="0.35"/>
    <row r="254" spans="1:1" ht="14.25" customHeight="1" x14ac:dyDescent="0.35"/>
    <row r="255" spans="1:1" ht="14.25" customHeight="1" x14ac:dyDescent="0.35"/>
    <row r="256" spans="1:1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5">
    <mergeCell ref="L3:O3"/>
    <mergeCell ref="L9:L10"/>
    <mergeCell ref="M9:M10"/>
    <mergeCell ref="N9:N10"/>
    <mergeCell ref="O9:O10"/>
    <mergeCell ref="L11:L13"/>
    <mergeCell ref="M11:M13"/>
    <mergeCell ref="N11:N13"/>
    <mergeCell ref="O11:O12"/>
    <mergeCell ref="O7:O8"/>
    <mergeCell ref="L5:L6"/>
    <mergeCell ref="M5:M6"/>
    <mergeCell ref="N5:N6"/>
    <mergeCell ref="L7:L8"/>
    <mergeCell ref="M7:M8"/>
  </mergeCells>
  <hyperlinks>
    <hyperlink ref="O6" location="'3.1'!A1" display="'3.1'!A1" xr:uid="{C4C44076-F7D9-4781-AF4D-F062715597F3}"/>
    <hyperlink ref="O7:O8" location="'3.2'!A1" display="'3.2'!A1" xr:uid="{AC47ECD2-A6D0-4D77-BF58-BA49297F2B20}"/>
    <hyperlink ref="O9:O10" location="'3.3'!A1" display="'3.3'!A1" xr:uid="{FB847C8D-AE8A-48A3-BC89-C4E93D5C9AA1}"/>
    <hyperlink ref="O13" location="'3.4'!A1" display="'3.4'!A1" xr:uid="{053F1275-E61E-48F2-A334-5DC1EAE65527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D5A3-3DDC-49E5-8A64-1DD7AA9D3F19}">
  <dimension ref="A2:B8"/>
  <sheetViews>
    <sheetView workbookViewId="0">
      <selection activeCell="A8" sqref="A8:B8"/>
    </sheetView>
  </sheetViews>
  <sheetFormatPr defaultRowHeight="14.5" x14ac:dyDescent="0.35"/>
  <cols>
    <col min="1" max="1" width="12.36328125" bestFit="1" customWidth="1"/>
    <col min="2" max="2" width="25.7265625" bestFit="1" customWidth="1"/>
  </cols>
  <sheetData>
    <row r="2" spans="1:2" x14ac:dyDescent="0.35">
      <c r="A2" s="14" t="s">
        <v>81</v>
      </c>
    </row>
    <row r="3" spans="1:2" x14ac:dyDescent="0.35">
      <c r="A3" s="11" t="s">
        <v>1</v>
      </c>
      <c r="B3" s="11" t="s">
        <v>82</v>
      </c>
    </row>
    <row r="4" spans="1:2" x14ac:dyDescent="0.35">
      <c r="A4" s="13" t="s">
        <v>12</v>
      </c>
      <c r="B4" s="4">
        <v>17.599262914182141</v>
      </c>
    </row>
    <row r="5" spans="1:2" x14ac:dyDescent="0.35">
      <c r="A5" s="13" t="s">
        <v>11</v>
      </c>
      <c r="B5" s="4">
        <v>17.480513118999934</v>
      </c>
    </row>
    <row r="6" spans="1:2" x14ac:dyDescent="0.35">
      <c r="A6" s="13" t="s">
        <v>10</v>
      </c>
      <c r="B6" s="4">
        <v>15.559291798886182</v>
      </c>
    </row>
    <row r="7" spans="1:2" x14ac:dyDescent="0.35">
      <c r="A7" s="13" t="s">
        <v>32</v>
      </c>
      <c r="B7" s="4">
        <v>14.067998324800023</v>
      </c>
    </row>
    <row r="8" spans="1:2" x14ac:dyDescent="0.35">
      <c r="A8" s="15" t="s">
        <v>83</v>
      </c>
      <c r="B8" s="11">
        <v>16.076503821978303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9747-D09B-464E-A98E-676203A71044}">
  <dimension ref="A2:D8"/>
  <sheetViews>
    <sheetView workbookViewId="0">
      <selection activeCell="A8" sqref="A8:D8"/>
    </sheetView>
  </sheetViews>
  <sheetFormatPr defaultRowHeight="14.5" x14ac:dyDescent="0.35"/>
  <cols>
    <col min="1" max="1" width="12.36328125" bestFit="1" customWidth="1"/>
    <col min="2" max="2" width="20" bestFit="1" customWidth="1"/>
    <col min="3" max="3" width="20.54296875" bestFit="1" customWidth="1"/>
    <col min="4" max="4" width="21.36328125" bestFit="1" customWidth="1"/>
    <col min="5" max="5" width="17.1796875" bestFit="1" customWidth="1"/>
  </cols>
  <sheetData>
    <row r="2" spans="1:4" x14ac:dyDescent="0.35">
      <c r="A2" s="14" t="s">
        <v>84</v>
      </c>
    </row>
    <row r="3" spans="1:4" x14ac:dyDescent="0.35">
      <c r="A3" s="11" t="s">
        <v>1</v>
      </c>
      <c r="B3" s="11" t="s">
        <v>85</v>
      </c>
      <c r="C3" s="11" t="s">
        <v>86</v>
      </c>
      <c r="D3" s="11" t="s">
        <v>87</v>
      </c>
    </row>
    <row r="4" spans="1:4" x14ac:dyDescent="0.35">
      <c r="A4" s="13" t="s">
        <v>10</v>
      </c>
      <c r="B4" s="4">
        <v>290063</v>
      </c>
      <c r="C4" s="4">
        <v>31443022</v>
      </c>
      <c r="D4" s="4">
        <v>1.2030686217981614</v>
      </c>
    </row>
    <row r="5" spans="1:4" x14ac:dyDescent="0.35">
      <c r="A5" s="13" t="s">
        <v>32</v>
      </c>
      <c r="B5" s="4">
        <v>320378</v>
      </c>
      <c r="C5" s="4">
        <v>40768090</v>
      </c>
      <c r="D5" s="4">
        <v>0.94286447506565674</v>
      </c>
    </row>
    <row r="6" spans="1:4" x14ac:dyDescent="0.35">
      <c r="A6" s="13" t="s">
        <v>11</v>
      </c>
      <c r="B6" s="4">
        <v>338307</v>
      </c>
      <c r="C6" s="4">
        <v>33812203</v>
      </c>
      <c r="D6" s="4">
        <v>1.376436171196926</v>
      </c>
    </row>
    <row r="7" spans="1:4" x14ac:dyDescent="0.35">
      <c r="A7" s="13" t="s">
        <v>12</v>
      </c>
      <c r="B7" s="4">
        <v>256440</v>
      </c>
      <c r="C7" s="4">
        <v>24658229</v>
      </c>
      <c r="D7" s="4">
        <v>1.4194033565547486</v>
      </c>
    </row>
    <row r="8" spans="1:4" x14ac:dyDescent="0.35">
      <c r="A8" s="15" t="s">
        <v>83</v>
      </c>
      <c r="B8" s="11">
        <v>1205188</v>
      </c>
      <c r="C8" s="11">
        <v>130681544</v>
      </c>
      <c r="D8" s="11">
        <v>1.2218035026624952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2F10-0CF6-4CED-B7E5-A9D522F353A4}">
  <dimension ref="A2:C7"/>
  <sheetViews>
    <sheetView workbookViewId="0">
      <selection activeCell="C17" sqref="C17"/>
    </sheetView>
  </sheetViews>
  <sheetFormatPr defaultRowHeight="14.5" x14ac:dyDescent="0.35"/>
  <cols>
    <col min="1" max="1" width="12.36328125" bestFit="1" customWidth="1"/>
    <col min="2" max="2" width="25.7265625" bestFit="1" customWidth="1"/>
    <col min="3" max="3" width="15.6328125" bestFit="1" customWidth="1"/>
  </cols>
  <sheetData>
    <row r="2" spans="1:3" x14ac:dyDescent="0.35">
      <c r="A2" s="14" t="s">
        <v>88</v>
      </c>
    </row>
    <row r="3" spans="1:3" x14ac:dyDescent="0.35">
      <c r="A3" s="11" t="s">
        <v>89</v>
      </c>
      <c r="B3" s="11" t="s">
        <v>82</v>
      </c>
      <c r="C3" s="11" t="s">
        <v>90</v>
      </c>
    </row>
    <row r="4" spans="1:3" x14ac:dyDescent="0.35">
      <c r="A4" s="13" t="s">
        <v>10</v>
      </c>
      <c r="B4" s="4">
        <v>15.559291798886182</v>
      </c>
      <c r="C4" s="4">
        <v>1775883</v>
      </c>
    </row>
    <row r="5" spans="1:3" x14ac:dyDescent="0.35">
      <c r="A5" s="13" t="s">
        <v>32</v>
      </c>
      <c r="B5" s="4">
        <v>14.067998324800023</v>
      </c>
      <c r="C5" s="4">
        <v>1990523</v>
      </c>
    </row>
    <row r="6" spans="1:3" x14ac:dyDescent="0.35">
      <c r="A6" s="13" t="s">
        <v>11</v>
      </c>
      <c r="B6" s="4">
        <v>17.480513118999934</v>
      </c>
      <c r="C6" s="4">
        <v>1874083</v>
      </c>
    </row>
    <row r="7" spans="1:3" x14ac:dyDescent="0.35">
      <c r="A7" s="13" t="s">
        <v>12</v>
      </c>
      <c r="B7" s="4">
        <v>17.599262914182141</v>
      </c>
      <c r="C7" s="4">
        <v>1286371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5569-878C-46C9-9474-45C4883E9293}">
  <dimension ref="A2:D8"/>
  <sheetViews>
    <sheetView workbookViewId="0">
      <selection activeCell="A3" sqref="A3:D8"/>
    </sheetView>
  </sheetViews>
  <sheetFormatPr defaultRowHeight="14.5" x14ac:dyDescent="0.35"/>
  <cols>
    <col min="1" max="1" width="12.36328125" bestFit="1" customWidth="1"/>
    <col min="2" max="2" width="20.26953125" bestFit="1" customWidth="1"/>
    <col min="3" max="3" width="15.6328125" bestFit="1" customWidth="1"/>
    <col min="4" max="4" width="25.7265625" bestFit="1" customWidth="1"/>
  </cols>
  <sheetData>
    <row r="2" spans="1:4" x14ac:dyDescent="0.35">
      <c r="A2" s="14" t="s">
        <v>91</v>
      </c>
    </row>
    <row r="3" spans="1:4" x14ac:dyDescent="0.35">
      <c r="A3" s="11" t="s">
        <v>93</v>
      </c>
      <c r="B3" s="11" t="s">
        <v>92</v>
      </c>
      <c r="C3" s="11" t="s">
        <v>90</v>
      </c>
      <c r="D3" s="11" t="s">
        <v>82</v>
      </c>
    </row>
    <row r="4" spans="1:4" x14ac:dyDescent="0.35">
      <c r="A4" s="13" t="s">
        <v>12</v>
      </c>
      <c r="B4" s="4">
        <v>1.4194033565547486</v>
      </c>
      <c r="C4" s="4">
        <v>1286371</v>
      </c>
      <c r="D4" s="4">
        <v>17.599262914182141</v>
      </c>
    </row>
    <row r="5" spans="1:4" x14ac:dyDescent="0.35">
      <c r="A5" s="13" t="s">
        <v>11</v>
      </c>
      <c r="B5" s="4">
        <v>1.3764361711969262</v>
      </c>
      <c r="C5" s="4">
        <v>1874083</v>
      </c>
      <c r="D5" s="4">
        <v>17.480513118999934</v>
      </c>
    </row>
    <row r="6" spans="1:4" x14ac:dyDescent="0.35">
      <c r="A6" s="13" t="s">
        <v>10</v>
      </c>
      <c r="B6" s="4">
        <v>1.2030686217981614</v>
      </c>
      <c r="C6" s="4">
        <v>1775883</v>
      </c>
      <c r="D6" s="4">
        <v>15.559291798886182</v>
      </c>
    </row>
    <row r="7" spans="1:4" x14ac:dyDescent="0.35">
      <c r="A7" s="13" t="s">
        <v>32</v>
      </c>
      <c r="B7" s="4">
        <v>0.94286447506565674</v>
      </c>
      <c r="C7" s="4">
        <v>1990523</v>
      </c>
      <c r="D7" s="4">
        <v>14.067998324800023</v>
      </c>
    </row>
    <row r="8" spans="1:4" x14ac:dyDescent="0.35">
      <c r="A8" s="15" t="s">
        <v>83</v>
      </c>
      <c r="B8" s="11">
        <v>1.2218035026624954</v>
      </c>
      <c r="C8" s="11">
        <v>6926860</v>
      </c>
      <c r="D8" s="11">
        <v>16.076503821978303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Task-3</vt:lpstr>
      <vt:lpstr>3.1</vt:lpstr>
      <vt:lpstr>3.2</vt:lpstr>
      <vt:lpstr>3.3</vt:lpstr>
      <vt:lpstr>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Savitha Reddy</dc:creator>
  <cp:lastModifiedBy>Savitha Reddy</cp:lastModifiedBy>
  <dcterms:created xsi:type="dcterms:W3CDTF">2025-12-13T12:22:12Z</dcterms:created>
  <dcterms:modified xsi:type="dcterms:W3CDTF">2025-12-15T08:28:14Z</dcterms:modified>
</cp:coreProperties>
</file>